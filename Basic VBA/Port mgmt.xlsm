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20" windowWidth="20490" windowHeight="7335"/>
  </bookViews>
  <sheets>
    <sheet name="PM_ST Example" sheetId="4860" r:id="rId1"/>
    <sheet name="PM_FF Example" sheetId="4861" r:id="rId2"/>
  </sheets>
  <functionGroups builtInGroupCount="17"/>
  <definedNames>
    <definedName name="collateData">#REF!</definedName>
    <definedName name="DonnéesExternes_1" localSheetId="1">'PM_FF Example'!$A$1:$A$484</definedName>
    <definedName name="DonnéesExternes_1" localSheetId="0">'PM_ST Example'!$A$1:$A$484</definedName>
    <definedName name="exportToCSV">#REF!</definedName>
  </definedNames>
  <calcPr calcId="145621"/>
</workbook>
</file>

<file path=xl/calcChain.xml><?xml version="1.0" encoding="utf-8"?>
<calcChain xmlns="http://schemas.openxmlformats.org/spreadsheetml/2006/main">
  <c r="G10" i="4861" l="1"/>
  <c r="G5" i="4861"/>
  <c r="K13" i="4860"/>
  <c r="M7" i="4860"/>
  <c r="J2" i="4860" a="1"/>
  <c r="G9" i="4861"/>
  <c r="G7" i="4861"/>
  <c r="M2" i="4860" a="1"/>
  <c r="K12" i="4860"/>
  <c r="G8" i="4861"/>
  <c r="D3" i="4861" a="1"/>
  <c r="G6" i="4861"/>
  <c r="J16" i="4860" a="1"/>
  <c r="O7" i="4860"/>
  <c r="K11" i="4860"/>
  <c r="G3" i="4860" a="1"/>
  <c r="N7" i="4860"/>
  <c r="F3" i="4860" a="1"/>
  <c r="F5" i="4860" l="1"/>
  <c r="F21" i="4860"/>
  <c r="F37" i="4860"/>
  <c r="F53" i="4860"/>
  <c r="F69" i="4860"/>
  <c r="F85" i="4860"/>
  <c r="F101" i="4860"/>
  <c r="F117" i="4860"/>
  <c r="F133" i="4860"/>
  <c r="F149" i="4860"/>
  <c r="F165" i="4860"/>
  <c r="F181" i="4860"/>
  <c r="F197" i="4860"/>
  <c r="F213" i="4860"/>
  <c r="F229" i="4860"/>
  <c r="F245" i="4860"/>
  <c r="F261" i="4860"/>
  <c r="F277" i="4860"/>
  <c r="F293" i="4860"/>
  <c r="F309" i="4860"/>
  <c r="F325" i="4860"/>
  <c r="F341" i="4860"/>
  <c r="F15" i="4860"/>
  <c r="F9" i="4860"/>
  <c r="F25" i="4860"/>
  <c r="F41" i="4860"/>
  <c r="F57" i="4860"/>
  <c r="F73" i="4860"/>
  <c r="F89" i="4860"/>
  <c r="F105" i="4860"/>
  <c r="F121" i="4860"/>
  <c r="F137" i="4860"/>
  <c r="F153" i="4860"/>
  <c r="F169" i="4860"/>
  <c r="F185" i="4860"/>
  <c r="F201" i="4860"/>
  <c r="F217" i="4860"/>
  <c r="F233" i="4860"/>
  <c r="F249" i="4860"/>
  <c r="F265" i="4860"/>
  <c r="F281" i="4860"/>
  <c r="F297" i="4860"/>
  <c r="F313" i="4860"/>
  <c r="F329" i="4860"/>
  <c r="F76" i="4860"/>
  <c r="F20" i="4860"/>
  <c r="F13" i="4860"/>
  <c r="F29" i="4860"/>
  <c r="F45" i="4860"/>
  <c r="F61" i="4860"/>
  <c r="F77" i="4860"/>
  <c r="F93" i="4860"/>
  <c r="F109" i="4860"/>
  <c r="F125" i="4860"/>
  <c r="F141" i="4860"/>
  <c r="F157" i="4860"/>
  <c r="F173" i="4860"/>
  <c r="F189" i="4860"/>
  <c r="F205" i="4860"/>
  <c r="F221" i="4860"/>
  <c r="F237" i="4860"/>
  <c r="F253" i="4860"/>
  <c r="F269" i="4860"/>
  <c r="F285" i="4860"/>
  <c r="F301" i="4860"/>
  <c r="F317" i="4860"/>
  <c r="F333" i="4860"/>
  <c r="F4" i="4860"/>
  <c r="F26" i="4860"/>
  <c r="F33" i="4860"/>
  <c r="F97" i="4860"/>
  <c r="F161" i="4860"/>
  <c r="F225" i="4860"/>
  <c r="F289" i="4860"/>
  <c r="F10" i="4860"/>
  <c r="F47" i="4860"/>
  <c r="F68" i="4860"/>
  <c r="F90" i="4860"/>
  <c r="F111" i="4860"/>
  <c r="F132" i="4860"/>
  <c r="F11" i="4860"/>
  <c r="F32" i="4860"/>
  <c r="F54" i="4860"/>
  <c r="F75" i="4860"/>
  <c r="F96" i="4860"/>
  <c r="F118" i="4860"/>
  <c r="F139" i="4860"/>
  <c r="F160" i="4860"/>
  <c r="F182" i="4860"/>
  <c r="F203" i="4860"/>
  <c r="F224" i="4860"/>
  <c r="F246" i="4860"/>
  <c r="F267" i="4860"/>
  <c r="F288" i="4860"/>
  <c r="F310" i="4860"/>
  <c r="F331" i="4860"/>
  <c r="F350" i="4860"/>
  <c r="F366" i="4860"/>
  <c r="F382" i="4860"/>
  <c r="F398" i="4860"/>
  <c r="F414" i="4860"/>
  <c r="F430" i="4860"/>
  <c r="F446" i="4860"/>
  <c r="F462" i="4860"/>
  <c r="F478" i="4860"/>
  <c r="F18" i="4860"/>
  <c r="F39" i="4860"/>
  <c r="F60" i="4860"/>
  <c r="F87" i="4860"/>
  <c r="F108" i="4860"/>
  <c r="F130" i="4860"/>
  <c r="F151" i="4860"/>
  <c r="F172" i="4860"/>
  <c r="F194" i="4860"/>
  <c r="F215" i="4860"/>
  <c r="F236" i="4860"/>
  <c r="F258" i="4860"/>
  <c r="F279" i="4860"/>
  <c r="F306" i="4860"/>
  <c r="F327" i="4860"/>
  <c r="F347" i="4860"/>
  <c r="F363" i="4860"/>
  <c r="F379" i="4860"/>
  <c r="F62" i="4860"/>
  <c r="F147" i="4860"/>
  <c r="F190" i="4860"/>
  <c r="F232" i="4860"/>
  <c r="F275" i="4860"/>
  <c r="F314" i="4860"/>
  <c r="F353" i="4860"/>
  <c r="F384" i="4860"/>
  <c r="F405" i="4860"/>
  <c r="F427" i="4860"/>
  <c r="F448" i="4860"/>
  <c r="F469" i="4860"/>
  <c r="F24" i="4860"/>
  <c r="F110" i="4860"/>
  <c r="F170" i="4860"/>
  <c r="F212" i="4860"/>
  <c r="F255" i="4860"/>
  <c r="F296" i="4860"/>
  <c r="F339" i="4860"/>
  <c r="F372" i="4860"/>
  <c r="F396" i="4860"/>
  <c r="F417" i="4860"/>
  <c r="F439" i="4860"/>
  <c r="F460" i="4860"/>
  <c r="F481" i="4860"/>
  <c r="F72" i="4860"/>
  <c r="F152" i="4860"/>
  <c r="F195" i="4860"/>
  <c r="F238" i="4860"/>
  <c r="F280" i="4860"/>
  <c r="F319" i="4860"/>
  <c r="F357" i="4860"/>
  <c r="F387" i="4860"/>
  <c r="F408" i="4860"/>
  <c r="F429" i="4860"/>
  <c r="F451" i="4860"/>
  <c r="F472" i="4860"/>
  <c r="F35" i="4860"/>
  <c r="F120" i="4860"/>
  <c r="F175" i="4860"/>
  <c r="F218" i="4860"/>
  <c r="F260" i="4860"/>
  <c r="F302" i="4860"/>
  <c r="F352" i="4860"/>
  <c r="F383" i="4860"/>
  <c r="F404" i="4860"/>
  <c r="F425" i="4860"/>
  <c r="F447" i="4860"/>
  <c r="F468" i="4860"/>
  <c r="F431" i="4860"/>
  <c r="F473" i="4860"/>
  <c r="F343" i="4860"/>
  <c r="F303" i="4860"/>
  <c r="F443" i="4860"/>
  <c r="F159" i="4860"/>
  <c r="F287" i="4860"/>
  <c r="F412" i="4860"/>
  <c r="F51" i="4860"/>
  <c r="F381" i="4860"/>
  <c r="F467" i="4860"/>
  <c r="F164" i="4860"/>
  <c r="F250" i="4860"/>
  <c r="F376" i="4860"/>
  <c r="F441" i="4860"/>
  <c r="F49" i="4860"/>
  <c r="F113" i="4860"/>
  <c r="F177" i="4860"/>
  <c r="F241" i="4860"/>
  <c r="F305" i="4860"/>
  <c r="F31" i="4860"/>
  <c r="F52" i="4860"/>
  <c r="F74" i="4860"/>
  <c r="F95" i="4860"/>
  <c r="F116" i="4860"/>
  <c r="F138" i="4860"/>
  <c r="F16" i="4860"/>
  <c r="F38" i="4860"/>
  <c r="F59" i="4860"/>
  <c r="F80" i="4860"/>
  <c r="F102" i="4860"/>
  <c r="F123" i="4860"/>
  <c r="F144" i="4860"/>
  <c r="F166" i="4860"/>
  <c r="F187" i="4860"/>
  <c r="F208" i="4860"/>
  <c r="F230" i="4860"/>
  <c r="F251" i="4860"/>
  <c r="F272" i="4860"/>
  <c r="F294" i="4860"/>
  <c r="F315" i="4860"/>
  <c r="F336" i="4860"/>
  <c r="F354" i="4860"/>
  <c r="F370" i="4860"/>
  <c r="F386" i="4860"/>
  <c r="F402" i="4860"/>
  <c r="F418" i="4860"/>
  <c r="F434" i="4860"/>
  <c r="F450" i="4860"/>
  <c r="F466" i="4860"/>
  <c r="F482" i="4860"/>
  <c r="F23" i="4860"/>
  <c r="F44" i="4860"/>
  <c r="F66" i="4860"/>
  <c r="F92" i="4860"/>
  <c r="F114" i="4860"/>
  <c r="F135" i="4860"/>
  <c r="F156" i="4860"/>
  <c r="F178" i="4860"/>
  <c r="F199" i="4860"/>
  <c r="F220" i="4860"/>
  <c r="F242" i="4860"/>
  <c r="F263" i="4860"/>
  <c r="F284" i="4860"/>
  <c r="F311" i="4860"/>
  <c r="F332" i="4860"/>
  <c r="F351" i="4860"/>
  <c r="F367" i="4860"/>
  <c r="F334" i="4860"/>
  <c r="F83" i="4860"/>
  <c r="F158" i="4860"/>
  <c r="F200" i="4860"/>
  <c r="F243" i="4860"/>
  <c r="F286" i="4860"/>
  <c r="F324" i="4860"/>
  <c r="F361" i="4860"/>
  <c r="F389" i="4860"/>
  <c r="F411" i="4860"/>
  <c r="F432" i="4860"/>
  <c r="F453" i="4860"/>
  <c r="F475" i="4860"/>
  <c r="F46" i="4860"/>
  <c r="F131" i="4860"/>
  <c r="F180" i="4860"/>
  <c r="F223" i="4860"/>
  <c r="F266" i="4860"/>
  <c r="F307" i="4860"/>
  <c r="F348" i="4860"/>
  <c r="F380" i="4860"/>
  <c r="F401" i="4860"/>
  <c r="F423" i="4860"/>
  <c r="F444" i="4860"/>
  <c r="F465" i="4860"/>
  <c r="F8" i="4860"/>
  <c r="F94" i="4860"/>
  <c r="F163" i="4860"/>
  <c r="F206" i="4860"/>
  <c r="F248" i="4860"/>
  <c r="F290" i="4860"/>
  <c r="F330" i="4860"/>
  <c r="F365" i="4860"/>
  <c r="F392" i="4860"/>
  <c r="F413" i="4860"/>
  <c r="F435" i="4860"/>
  <c r="F456" i="4860"/>
  <c r="F477" i="4860"/>
  <c r="F56" i="4860"/>
  <c r="F142" i="4860"/>
  <c r="F186" i="4860"/>
  <c r="F228" i="4860"/>
  <c r="F271" i="4860"/>
  <c r="F312" i="4860"/>
  <c r="F360" i="4860"/>
  <c r="F388" i="4860"/>
  <c r="F409" i="4860"/>
  <c r="F452" i="4860"/>
  <c r="F359" i="4860"/>
  <c r="F345" i="4860"/>
  <c r="F421" i="4860"/>
  <c r="F3" i="4860"/>
  <c r="F202" i="4860"/>
  <c r="F328" i="4860"/>
  <c r="F391" i="4860"/>
  <c r="F455" i="4860"/>
  <c r="F136" i="4860"/>
  <c r="F308" i="4860"/>
  <c r="F403" i="4860"/>
  <c r="F445" i="4860"/>
  <c r="F14" i="4860"/>
  <c r="F207" i="4860"/>
  <c r="F344" i="4860"/>
  <c r="F420" i="4860"/>
  <c r="F484" i="4860"/>
  <c r="F65" i="4860"/>
  <c r="F129" i="4860"/>
  <c r="F193" i="4860"/>
  <c r="F257" i="4860"/>
  <c r="F321" i="4860"/>
  <c r="F36" i="4860"/>
  <c r="F58" i="4860"/>
  <c r="F79" i="4860"/>
  <c r="F100" i="4860"/>
  <c r="F122" i="4860"/>
  <c r="F143" i="4860"/>
  <c r="F22" i="4860"/>
  <c r="F43" i="4860"/>
  <c r="F64" i="4860"/>
  <c r="F86" i="4860"/>
  <c r="F107" i="4860"/>
  <c r="F128" i="4860"/>
  <c r="F150" i="4860"/>
  <c r="F171" i="4860"/>
  <c r="F192" i="4860"/>
  <c r="F214" i="4860"/>
  <c r="F235" i="4860"/>
  <c r="F256" i="4860"/>
  <c r="F278" i="4860"/>
  <c r="F299" i="4860"/>
  <c r="F320" i="4860"/>
  <c r="F342" i="4860"/>
  <c r="F358" i="4860"/>
  <c r="F374" i="4860"/>
  <c r="F390" i="4860"/>
  <c r="F406" i="4860"/>
  <c r="F422" i="4860"/>
  <c r="F438" i="4860"/>
  <c r="F454" i="4860"/>
  <c r="F470" i="4860"/>
  <c r="F7" i="4860"/>
  <c r="F28" i="4860"/>
  <c r="F50" i="4860"/>
  <c r="F71" i="4860"/>
  <c r="F98" i="4860"/>
  <c r="F119" i="4860"/>
  <c r="F140" i="4860"/>
  <c r="F162" i="4860"/>
  <c r="F183" i="4860"/>
  <c r="F204" i="4860"/>
  <c r="F226" i="4860"/>
  <c r="F247" i="4860"/>
  <c r="F268" i="4860"/>
  <c r="F295" i="4860"/>
  <c r="F316" i="4860"/>
  <c r="F338" i="4860"/>
  <c r="F355" i="4860"/>
  <c r="F371" i="4860"/>
  <c r="F19" i="4860"/>
  <c r="F104" i="4860"/>
  <c r="F168" i="4860"/>
  <c r="F211" i="4860"/>
  <c r="F254" i="4860"/>
  <c r="F292" i="4860"/>
  <c r="F335" i="4860"/>
  <c r="F369" i="4860"/>
  <c r="F395" i="4860"/>
  <c r="F416" i="4860"/>
  <c r="F437" i="4860"/>
  <c r="F459" i="4860"/>
  <c r="F480" i="4860"/>
  <c r="F67" i="4860"/>
  <c r="F148" i="4860"/>
  <c r="F191" i="4860"/>
  <c r="F234" i="4860"/>
  <c r="F276" i="4860"/>
  <c r="F318" i="4860"/>
  <c r="F356" i="4860"/>
  <c r="F385" i="4860"/>
  <c r="F407" i="4860"/>
  <c r="F428" i="4860"/>
  <c r="F449" i="4860"/>
  <c r="F471" i="4860"/>
  <c r="F30" i="4860"/>
  <c r="F115" i="4860"/>
  <c r="F174" i="4860"/>
  <c r="F216" i="4860"/>
  <c r="F259" i="4860"/>
  <c r="F298" i="4860"/>
  <c r="F340" i="4860"/>
  <c r="F373" i="4860"/>
  <c r="F397" i="4860"/>
  <c r="F419" i="4860"/>
  <c r="F440" i="4860"/>
  <c r="F461" i="4860"/>
  <c r="F483" i="4860"/>
  <c r="F78" i="4860"/>
  <c r="F154" i="4860"/>
  <c r="F196" i="4860"/>
  <c r="F239" i="4860"/>
  <c r="F282" i="4860"/>
  <c r="F323" i="4860"/>
  <c r="F368" i="4860"/>
  <c r="F393" i="4860"/>
  <c r="F415" i="4860"/>
  <c r="F436" i="4860"/>
  <c r="F457" i="4860"/>
  <c r="F479" i="4860"/>
  <c r="F17" i="4860"/>
  <c r="F81" i="4860"/>
  <c r="F145" i="4860"/>
  <c r="F209" i="4860"/>
  <c r="F273" i="4860"/>
  <c r="F337" i="4860"/>
  <c r="F42" i="4860"/>
  <c r="F63" i="4860"/>
  <c r="F84" i="4860"/>
  <c r="F106" i="4860"/>
  <c r="F127" i="4860"/>
  <c r="F6" i="4860"/>
  <c r="F27" i="4860"/>
  <c r="F48" i="4860"/>
  <c r="F70" i="4860"/>
  <c r="F91" i="4860"/>
  <c r="F112" i="4860"/>
  <c r="F134" i="4860"/>
  <c r="F155" i="4860"/>
  <c r="F176" i="4860"/>
  <c r="F198" i="4860"/>
  <c r="F219" i="4860"/>
  <c r="F240" i="4860"/>
  <c r="F262" i="4860"/>
  <c r="F283" i="4860"/>
  <c r="F304" i="4860"/>
  <c r="F326" i="4860"/>
  <c r="F346" i="4860"/>
  <c r="F362" i="4860"/>
  <c r="F378" i="4860"/>
  <c r="F394" i="4860"/>
  <c r="F410" i="4860"/>
  <c r="F426" i="4860"/>
  <c r="F442" i="4860"/>
  <c r="F458" i="4860"/>
  <c r="F474" i="4860"/>
  <c r="F12" i="4860"/>
  <c r="F34" i="4860"/>
  <c r="F55" i="4860"/>
  <c r="F82" i="4860"/>
  <c r="F103" i="4860"/>
  <c r="F124" i="4860"/>
  <c r="F146" i="4860"/>
  <c r="F167" i="4860"/>
  <c r="F188" i="4860"/>
  <c r="F210" i="4860"/>
  <c r="F231" i="4860"/>
  <c r="F252" i="4860"/>
  <c r="F274" i="4860"/>
  <c r="F300" i="4860"/>
  <c r="F322" i="4860"/>
  <c r="F375" i="4860"/>
  <c r="F40" i="4860"/>
  <c r="F126" i="4860"/>
  <c r="F179" i="4860"/>
  <c r="F222" i="4860"/>
  <c r="F264" i="4860"/>
  <c r="F377" i="4860"/>
  <c r="F400" i="4860"/>
  <c r="F464" i="4860"/>
  <c r="F88" i="4860"/>
  <c r="F244" i="4860"/>
  <c r="F364" i="4860"/>
  <c r="F433" i="4860"/>
  <c r="F476" i="4860"/>
  <c r="F184" i="4860"/>
  <c r="F227" i="4860"/>
  <c r="F270" i="4860"/>
  <c r="F349" i="4860"/>
  <c r="F424" i="4860"/>
  <c r="F99" i="4860"/>
  <c r="F291" i="4860"/>
  <c r="F399" i="4860"/>
  <c r="F463" i="4860"/>
  <c r="G10" i="4860"/>
  <c r="G18" i="4860"/>
  <c r="G26" i="4860"/>
  <c r="G34" i="4860"/>
  <c r="G42" i="4860"/>
  <c r="G50" i="4860"/>
  <c r="G4" i="4860"/>
  <c r="G12" i="4860"/>
  <c r="G20" i="4860"/>
  <c r="G28" i="4860"/>
  <c r="G36" i="4860"/>
  <c r="G44" i="4860"/>
  <c r="G52" i="4860"/>
  <c r="G6" i="4860"/>
  <c r="G14" i="4860"/>
  <c r="G22" i="4860"/>
  <c r="G30" i="4860"/>
  <c r="G38" i="4860"/>
  <c r="G46" i="4860"/>
  <c r="G54" i="4860"/>
  <c r="G62" i="4860"/>
  <c r="G70" i="4860"/>
  <c r="G78" i="4860"/>
  <c r="G86" i="4860"/>
  <c r="G94" i="4860"/>
  <c r="G102" i="4860"/>
  <c r="G110" i="4860"/>
  <c r="G118" i="4860"/>
  <c r="G24" i="4860"/>
  <c r="G56" i="4860"/>
  <c r="G66" i="4860"/>
  <c r="G76" i="4860"/>
  <c r="G88" i="4860"/>
  <c r="G98" i="4860"/>
  <c r="G108" i="4860"/>
  <c r="G120" i="4860"/>
  <c r="G128" i="4860"/>
  <c r="G136" i="4860"/>
  <c r="G144" i="4860"/>
  <c r="G152" i="4860"/>
  <c r="G160" i="4860"/>
  <c r="G168" i="4860"/>
  <c r="G7" i="4860"/>
  <c r="H17" i="4860"/>
  <c r="H28" i="4860"/>
  <c r="G39" i="4860"/>
  <c r="H49" i="4860"/>
  <c r="H60" i="4860"/>
  <c r="G71" i="4860"/>
  <c r="H81" i="4860"/>
  <c r="H92" i="4860"/>
  <c r="G103" i="4860"/>
  <c r="H113" i="4860"/>
  <c r="H124" i="4860"/>
  <c r="G135" i="4860"/>
  <c r="H145" i="4860"/>
  <c r="H156" i="4860"/>
  <c r="G167" i="4860"/>
  <c r="H176" i="4860"/>
  <c r="H184" i="4860"/>
  <c r="H192" i="4860"/>
  <c r="H200" i="4860"/>
  <c r="H208" i="4860"/>
  <c r="H216" i="4860"/>
  <c r="H224" i="4860"/>
  <c r="H232" i="4860"/>
  <c r="H240" i="4860"/>
  <c r="H248" i="4860"/>
  <c r="H256" i="4860"/>
  <c r="H264" i="4860"/>
  <c r="H272" i="4860"/>
  <c r="H280" i="4860"/>
  <c r="H288" i="4860"/>
  <c r="H296" i="4860"/>
  <c r="H304" i="4860"/>
  <c r="H312" i="4860"/>
  <c r="H320" i="4860"/>
  <c r="H328" i="4860"/>
  <c r="H336" i="4860"/>
  <c r="H344" i="4860"/>
  <c r="H352" i="4860"/>
  <c r="H360" i="4860"/>
  <c r="H368" i="4860"/>
  <c r="H376" i="4860"/>
  <c r="H384" i="4860"/>
  <c r="H16" i="4860"/>
  <c r="H30" i="4860"/>
  <c r="G45" i="4860"/>
  <c r="G59" i="4860"/>
  <c r="G73" i="4860"/>
  <c r="H87" i="4860"/>
  <c r="H101" i="4860"/>
  <c r="H115" i="4860"/>
  <c r="H130" i="4860"/>
  <c r="H144" i="4860"/>
  <c r="H158" i="4860"/>
  <c r="G173" i="4860"/>
  <c r="H183" i="4860"/>
  <c r="G194" i="4860"/>
  <c r="G205" i="4860"/>
  <c r="G218" i="4860"/>
  <c r="H231" i="4860"/>
  <c r="H6" i="4860"/>
  <c r="G21" i="4860"/>
  <c r="G35" i="4860"/>
  <c r="G49" i="4860"/>
  <c r="H63" i="4860"/>
  <c r="H77" i="4860"/>
  <c r="H91" i="4860"/>
  <c r="H106" i="4860"/>
  <c r="H120" i="4860"/>
  <c r="H134" i="4860"/>
  <c r="G149" i="4860"/>
  <c r="G163" i="4860"/>
  <c r="G176" i="4860"/>
  <c r="G187" i="4860"/>
  <c r="H197" i="4860"/>
  <c r="G208" i="4860"/>
  <c r="G219" i="4860"/>
  <c r="H229" i="4860"/>
  <c r="H7" i="4860"/>
  <c r="H21" i="4860"/>
  <c r="H35" i="4860"/>
  <c r="H50" i="4860"/>
  <c r="H64" i="4860"/>
  <c r="H78" i="4860"/>
  <c r="G93" i="4860"/>
  <c r="G107" i="4860"/>
  <c r="G121" i="4860"/>
  <c r="H135" i="4860"/>
  <c r="H149" i="4860"/>
  <c r="H163" i="4860"/>
  <c r="G177" i="4860"/>
  <c r="H187" i="4860"/>
  <c r="G198" i="4860"/>
  <c r="G32" i="4860"/>
  <c r="G58" i="4860"/>
  <c r="G68" i="4860"/>
  <c r="G80" i="4860"/>
  <c r="G90" i="4860"/>
  <c r="G100" i="4860"/>
  <c r="G112" i="4860"/>
  <c r="G122" i="4860"/>
  <c r="G130" i="4860"/>
  <c r="G138" i="4860"/>
  <c r="G146" i="4860"/>
  <c r="G154" i="4860"/>
  <c r="G162" i="4860"/>
  <c r="G170" i="4860"/>
  <c r="H9" i="4860"/>
  <c r="H20" i="4860"/>
  <c r="G31" i="4860"/>
  <c r="H41" i="4860"/>
  <c r="H52" i="4860"/>
  <c r="G63" i="4860"/>
  <c r="H73" i="4860"/>
  <c r="H84" i="4860"/>
  <c r="G95" i="4860"/>
  <c r="H105" i="4860"/>
  <c r="H116" i="4860"/>
  <c r="G127" i="4860"/>
  <c r="H137" i="4860"/>
  <c r="H148" i="4860"/>
  <c r="G159" i="4860"/>
  <c r="H169" i="4860"/>
  <c r="H178" i="4860"/>
  <c r="H186" i="4860"/>
  <c r="H194" i="4860"/>
  <c r="H202" i="4860"/>
  <c r="H210" i="4860"/>
  <c r="H218" i="4860"/>
  <c r="H226" i="4860"/>
  <c r="H234" i="4860"/>
  <c r="H242" i="4860"/>
  <c r="H250" i="4860"/>
  <c r="H258" i="4860"/>
  <c r="H266" i="4860"/>
  <c r="H274" i="4860"/>
  <c r="H282" i="4860"/>
  <c r="H290" i="4860"/>
  <c r="H298" i="4860"/>
  <c r="H306" i="4860"/>
  <c r="H314" i="4860"/>
  <c r="H322" i="4860"/>
  <c r="H330" i="4860"/>
  <c r="H338" i="4860"/>
  <c r="H346" i="4860"/>
  <c r="H354" i="4860"/>
  <c r="H362" i="4860"/>
  <c r="H370" i="4860"/>
  <c r="H378" i="4860"/>
  <c r="H5" i="4860"/>
  <c r="H19" i="4860"/>
  <c r="H34" i="4860"/>
  <c r="H48" i="4860"/>
  <c r="H62" i="4860"/>
  <c r="G77" i="4860"/>
  <c r="G91" i="4860"/>
  <c r="G105" i="4860"/>
  <c r="H119" i="4860"/>
  <c r="H133" i="4860"/>
  <c r="H147" i="4860"/>
  <c r="H162" i="4860"/>
  <c r="H175" i="4860"/>
  <c r="G186" i="4860"/>
  <c r="G197" i="4860"/>
  <c r="G210" i="4860"/>
  <c r="G221" i="4860"/>
  <c r="G234" i="4860"/>
  <c r="H10" i="4860"/>
  <c r="H24" i="4860"/>
  <c r="H38" i="4860"/>
  <c r="G53" i="4860"/>
  <c r="G67" i="4860"/>
  <c r="G81" i="4860"/>
  <c r="H95" i="4860"/>
  <c r="H109" i="4860"/>
  <c r="H123" i="4860"/>
  <c r="H138" i="4860"/>
  <c r="H152" i="4860"/>
  <c r="H166" i="4860"/>
  <c r="G179" i="4860"/>
  <c r="H189" i="4860"/>
  <c r="G200" i="4860"/>
  <c r="G211" i="4860"/>
  <c r="H221" i="4860"/>
  <c r="G232" i="4860"/>
  <c r="G11" i="4860"/>
  <c r="G25" i="4860"/>
  <c r="H39" i="4860"/>
  <c r="H53" i="4860"/>
  <c r="H67" i="4860"/>
  <c r="H82" i="4860"/>
  <c r="H96" i="4860"/>
  <c r="H110" i="4860"/>
  <c r="G125" i="4860"/>
  <c r="G139" i="4860"/>
  <c r="G153" i="4860"/>
  <c r="H167" i="4860"/>
  <c r="H179" i="4860"/>
  <c r="G190" i="4860"/>
  <c r="G201" i="4860"/>
  <c r="H211" i="4860"/>
  <c r="G222" i="4860"/>
  <c r="G8" i="4860"/>
  <c r="G40" i="4860"/>
  <c r="G60" i="4860"/>
  <c r="G72" i="4860"/>
  <c r="G82" i="4860"/>
  <c r="G92" i="4860"/>
  <c r="G104" i="4860"/>
  <c r="G114" i="4860"/>
  <c r="G124" i="4860"/>
  <c r="G132" i="4860"/>
  <c r="G140" i="4860"/>
  <c r="G148" i="4860"/>
  <c r="G156" i="4860"/>
  <c r="G164" i="4860"/>
  <c r="G172" i="4860"/>
  <c r="H12" i="4860"/>
  <c r="G23" i="4860"/>
  <c r="H33" i="4860"/>
  <c r="H44" i="4860"/>
  <c r="G55" i="4860"/>
  <c r="H65" i="4860"/>
  <c r="H76" i="4860"/>
  <c r="G87" i="4860"/>
  <c r="H97" i="4860"/>
  <c r="H108" i="4860"/>
  <c r="G119" i="4860"/>
  <c r="H129" i="4860"/>
  <c r="H140" i="4860"/>
  <c r="G151" i="4860"/>
  <c r="H161" i="4860"/>
  <c r="H172" i="4860"/>
  <c r="H180" i="4860"/>
  <c r="H188" i="4860"/>
  <c r="H196" i="4860"/>
  <c r="H204" i="4860"/>
  <c r="H212" i="4860"/>
  <c r="H220" i="4860"/>
  <c r="H228" i="4860"/>
  <c r="H236" i="4860"/>
  <c r="H244" i="4860"/>
  <c r="H252" i="4860"/>
  <c r="H260" i="4860"/>
  <c r="H268" i="4860"/>
  <c r="H276" i="4860"/>
  <c r="H284" i="4860"/>
  <c r="H292" i="4860"/>
  <c r="H300" i="4860"/>
  <c r="H308" i="4860"/>
  <c r="H316" i="4860"/>
  <c r="H324" i="4860"/>
  <c r="H332" i="4860"/>
  <c r="H340" i="4860"/>
  <c r="H348" i="4860"/>
  <c r="H356" i="4860"/>
  <c r="H364" i="4860"/>
  <c r="H372" i="4860"/>
  <c r="H380" i="4860"/>
  <c r="G9" i="4860"/>
  <c r="H23" i="4860"/>
  <c r="H37" i="4860"/>
  <c r="H51" i="4860"/>
  <c r="H66" i="4860"/>
  <c r="H80" i="4860"/>
  <c r="H94" i="4860"/>
  <c r="G109" i="4860"/>
  <c r="G123" i="4860"/>
  <c r="G137" i="4860"/>
  <c r="H151" i="4860"/>
  <c r="H165" i="4860"/>
  <c r="G178" i="4860"/>
  <c r="G189" i="4860"/>
  <c r="H199" i="4860"/>
  <c r="G213" i="4860"/>
  <c r="H223" i="4860"/>
  <c r="H239" i="4860"/>
  <c r="H13" i="4860"/>
  <c r="H27" i="4860"/>
  <c r="H42" i="4860"/>
  <c r="H56" i="4860"/>
  <c r="H70" i="4860"/>
  <c r="G85" i="4860"/>
  <c r="G99" i="4860"/>
  <c r="G113" i="4860"/>
  <c r="H127" i="4860"/>
  <c r="H141" i="4860"/>
  <c r="H155" i="4860"/>
  <c r="H170" i="4860"/>
  <c r="H181" i="4860"/>
  <c r="G192" i="4860"/>
  <c r="G203" i="4860"/>
  <c r="H213" i="4860"/>
  <c r="G224" i="4860"/>
  <c r="G235" i="4860"/>
  <c r="H14" i="4860"/>
  <c r="G29" i="4860"/>
  <c r="G43" i="4860"/>
  <c r="G57" i="4860"/>
  <c r="H71" i="4860"/>
  <c r="H85" i="4860"/>
  <c r="H99" i="4860"/>
  <c r="H114" i="4860"/>
  <c r="H128" i="4860"/>
  <c r="H142" i="4860"/>
  <c r="G157" i="4860"/>
  <c r="G171" i="4860"/>
  <c r="G182" i="4860"/>
  <c r="G193" i="4860"/>
  <c r="H203" i="4860"/>
  <c r="G214" i="4860"/>
  <c r="G225" i="4860"/>
  <c r="H235" i="4860"/>
  <c r="G246" i="4860"/>
  <c r="G257" i="4860"/>
  <c r="H267" i="4860"/>
  <c r="H11" i="4860"/>
  <c r="H26" i="4860"/>
  <c r="H40" i="4860"/>
  <c r="H54" i="4860"/>
  <c r="G69" i="4860"/>
  <c r="G83" i="4860"/>
  <c r="G97" i="4860"/>
  <c r="H111" i="4860"/>
  <c r="H125" i="4860"/>
  <c r="H139" i="4860"/>
  <c r="H154" i="4860"/>
  <c r="H168" i="4860"/>
  <c r="G180" i="4860"/>
  <c r="G191" i="4860"/>
  <c r="H201" i="4860"/>
  <c r="G212" i="4860"/>
  <c r="G223" i="4860"/>
  <c r="H233" i="4860"/>
  <c r="G244" i="4860"/>
  <c r="G255" i="4860"/>
  <c r="H265" i="4860"/>
  <c r="G276" i="4860"/>
  <c r="G287" i="4860"/>
  <c r="H297" i="4860"/>
  <c r="G308" i="4860"/>
  <c r="G319" i="4860"/>
  <c r="H329" i="4860"/>
  <c r="G340" i="4860"/>
  <c r="G351" i="4860"/>
  <c r="H361" i="4860"/>
  <c r="G372" i="4860"/>
  <c r="G383" i="4860"/>
  <c r="H391" i="4860"/>
  <c r="H399" i="4860"/>
  <c r="H407" i="4860"/>
  <c r="H415" i="4860"/>
  <c r="H423" i="4860"/>
  <c r="G48" i="4860"/>
  <c r="G96" i="4860"/>
  <c r="G134" i="4860"/>
  <c r="G166" i="4860"/>
  <c r="H36" i="4860"/>
  <c r="G79" i="4860"/>
  <c r="H121" i="4860"/>
  <c r="H164" i="4860"/>
  <c r="H198" i="4860"/>
  <c r="H230" i="4860"/>
  <c r="H262" i="4860"/>
  <c r="H294" i="4860"/>
  <c r="H326" i="4860"/>
  <c r="H358" i="4860"/>
  <c r="G13" i="4860"/>
  <c r="H69" i="4860"/>
  <c r="H126" i="4860"/>
  <c r="G181" i="4860"/>
  <c r="G226" i="4860"/>
  <c r="H45" i="4860"/>
  <c r="H102" i="4860"/>
  <c r="H159" i="4860"/>
  <c r="H205" i="4860"/>
  <c r="H18" i="4860"/>
  <c r="G75" i="4860"/>
  <c r="H131" i="4860"/>
  <c r="G185" i="4860"/>
  <c r="G217" i="4860"/>
  <c r="G233" i="4860"/>
  <c r="G249" i="4860"/>
  <c r="G262" i="4860"/>
  <c r="H8" i="4860"/>
  <c r="H29" i="4860"/>
  <c r="H47" i="4860"/>
  <c r="G65" i="4860"/>
  <c r="H86" i="4860"/>
  <c r="H104" i="4860"/>
  <c r="H122" i="4860"/>
  <c r="H143" i="4860"/>
  <c r="G161" i="4860"/>
  <c r="H177" i="4860"/>
  <c r="H193" i="4860"/>
  <c r="G207" i="4860"/>
  <c r="G220" i="4860"/>
  <c r="G236" i="4860"/>
  <c r="H249" i="4860"/>
  <c r="G263" i="4860"/>
  <c r="G279" i="4860"/>
  <c r="G292" i="4860"/>
  <c r="H305" i="4860"/>
  <c r="H321" i="4860"/>
  <c r="G335" i="4860"/>
  <c r="G348" i="4860"/>
  <c r="G364" i="4860"/>
  <c r="H377" i="4860"/>
  <c r="H389" i="4860"/>
  <c r="H401" i="4860"/>
  <c r="H411" i="4860"/>
  <c r="H421" i="4860"/>
  <c r="H431" i="4860"/>
  <c r="H439" i="4860"/>
  <c r="H447" i="4860"/>
  <c r="H455" i="4860"/>
  <c r="H463" i="4860"/>
  <c r="H471" i="4860"/>
  <c r="H479" i="4860"/>
  <c r="G229" i="4860"/>
  <c r="G433" i="4860"/>
  <c r="G446" i="4860"/>
  <c r="H470" i="4860"/>
  <c r="H255" i="4860"/>
  <c r="G278" i="4860"/>
  <c r="G296" i="4860"/>
  <c r="G346" i="4860"/>
  <c r="G425" i="4860"/>
  <c r="H245" i="4860"/>
  <c r="G267" i="4860"/>
  <c r="G283" i="4860"/>
  <c r="G297" i="4860"/>
  <c r="H311" i="4860"/>
  <c r="H325" i="4860"/>
  <c r="H339" i="4860"/>
  <c r="G354" i="4860"/>
  <c r="G368" i="4860"/>
  <c r="G382" i="4860"/>
  <c r="G394" i="4860"/>
  <c r="H404" i="4860"/>
  <c r="G415" i="4860"/>
  <c r="G426" i="4860"/>
  <c r="H436" i="4860"/>
  <c r="G447" i="4860"/>
  <c r="G458" i="4860"/>
  <c r="H468" i="4860"/>
  <c r="G479" i="4860"/>
  <c r="H247" i="4860"/>
  <c r="G269" i="4860"/>
  <c r="H283" i="4860"/>
  <c r="G298" i="4860"/>
  <c r="G312" i="4860"/>
  <c r="G326" i="4860"/>
  <c r="G341" i="4860"/>
  <c r="G355" i="4860"/>
  <c r="G369" i="4860"/>
  <c r="H383" i="4860"/>
  <c r="H394" i="4860"/>
  <c r="G405" i="4860"/>
  <c r="G416" i="4860"/>
  <c r="H426" i="4860"/>
  <c r="G437" i="4860"/>
  <c r="G448" i="4860"/>
  <c r="H458" i="4860"/>
  <c r="G469" i="4860"/>
  <c r="G480" i="4860"/>
  <c r="H253" i="4860"/>
  <c r="G274" i="4860"/>
  <c r="G288" i="4860"/>
  <c r="G302" i="4860"/>
  <c r="G317" i="4860"/>
  <c r="G331" i="4860"/>
  <c r="G345" i="4860"/>
  <c r="H359" i="4860"/>
  <c r="H373" i="4860"/>
  <c r="G387" i="4860"/>
  <c r="G398" i="4860"/>
  <c r="H408" i="4860"/>
  <c r="G419" i="4860"/>
  <c r="G430" i="4860"/>
  <c r="H440" i="4860"/>
  <c r="G454" i="4860"/>
  <c r="H464" i="4860"/>
  <c r="G475" i="4860"/>
  <c r="G266" i="4860"/>
  <c r="G310" i="4860"/>
  <c r="H331" i="4860"/>
  <c r="H349" i="4860"/>
  <c r="H363" i="4860"/>
  <c r="H381" i="4860"/>
  <c r="G396" i="4860"/>
  <c r="H406" i="4860"/>
  <c r="G420" i="4860"/>
  <c r="G436" i="4860"/>
  <c r="G457" i="4860"/>
  <c r="G64" i="4860"/>
  <c r="G106" i="4860"/>
  <c r="G142" i="4860"/>
  <c r="H4" i="4860"/>
  <c r="G47" i="4860"/>
  <c r="H89" i="4860"/>
  <c r="H132" i="4860"/>
  <c r="H174" i="4860"/>
  <c r="H206" i="4860"/>
  <c r="H238" i="4860"/>
  <c r="H270" i="4860"/>
  <c r="H302" i="4860"/>
  <c r="H334" i="4860"/>
  <c r="H366" i="4860"/>
  <c r="G27" i="4860"/>
  <c r="H83" i="4860"/>
  <c r="G141" i="4860"/>
  <c r="H191" i="4860"/>
  <c r="G3" i="4860"/>
  <c r="H59" i="4860"/>
  <c r="G117" i="4860"/>
  <c r="H173" i="4860"/>
  <c r="G216" i="4860"/>
  <c r="H32" i="4860"/>
  <c r="G89" i="4860"/>
  <c r="H146" i="4860"/>
  <c r="H195" i="4860"/>
  <c r="H219" i="4860"/>
  <c r="G238" i="4860"/>
  <c r="H251" i="4860"/>
  <c r="G265" i="4860"/>
  <c r="H15" i="4860"/>
  <c r="G33" i="4860"/>
  <c r="G51" i="4860"/>
  <c r="H72" i="4860"/>
  <c r="H90" i="4860"/>
  <c r="H107" i="4860"/>
  <c r="G129" i="4860"/>
  <c r="G147" i="4860"/>
  <c r="G165" i="4860"/>
  <c r="G183" i="4860"/>
  <c r="G196" i="4860"/>
  <c r="H209" i="4860"/>
  <c r="H225" i="4860"/>
  <c r="G239" i="4860"/>
  <c r="G252" i="4860"/>
  <c r="G268" i="4860"/>
  <c r="H281" i="4860"/>
  <c r="G295" i="4860"/>
  <c r="G311" i="4860"/>
  <c r="G324" i="4860"/>
  <c r="H337" i="4860"/>
  <c r="H353" i="4860"/>
  <c r="G367" i="4860"/>
  <c r="G380" i="4860"/>
  <c r="H393" i="4860"/>
  <c r="H403" i="4860"/>
  <c r="H413" i="4860"/>
  <c r="H425" i="4860"/>
  <c r="H433" i="4860"/>
  <c r="H441" i="4860"/>
  <c r="H449" i="4860"/>
  <c r="H457" i="4860"/>
  <c r="H465" i="4860"/>
  <c r="H473" i="4860"/>
  <c r="H481" i="4860"/>
  <c r="G237" i="4860"/>
  <c r="G460" i="4860"/>
  <c r="G441" i="4860"/>
  <c r="H478" i="4860"/>
  <c r="G261" i="4860"/>
  <c r="G282" i="4860"/>
  <c r="H303" i="4860"/>
  <c r="H367" i="4860"/>
  <c r="H438" i="4860"/>
  <c r="G251" i="4860"/>
  <c r="G272" i="4860"/>
  <c r="G286" i="4860"/>
  <c r="G301" i="4860"/>
  <c r="G315" i="4860"/>
  <c r="G329" i="4860"/>
  <c r="H343" i="4860"/>
  <c r="H357" i="4860"/>
  <c r="H371" i="4860"/>
  <c r="G386" i="4860"/>
  <c r="H396" i="4860"/>
  <c r="G407" i="4860"/>
  <c r="G418" i="4860"/>
  <c r="H428" i="4860"/>
  <c r="G439" i="4860"/>
  <c r="G450" i="4860"/>
  <c r="H460" i="4860"/>
  <c r="G471" i="4860"/>
  <c r="G482" i="4860"/>
  <c r="G253" i="4860"/>
  <c r="G273" i="4860"/>
  <c r="H287" i="4860"/>
  <c r="H301" i="4860"/>
  <c r="H315" i="4860"/>
  <c r="G330" i="4860"/>
  <c r="G344" i="4860"/>
  <c r="G358" i="4860"/>
  <c r="G373" i="4860"/>
  <c r="H386" i="4860"/>
  <c r="G397" i="4860"/>
  <c r="G408" i="4860"/>
  <c r="H418" i="4860"/>
  <c r="G429" i="4860"/>
  <c r="G440" i="4860"/>
  <c r="H450" i="4860"/>
  <c r="G461" i="4860"/>
  <c r="G472" i="4860"/>
  <c r="H482" i="4860"/>
  <c r="G259" i="4860"/>
  <c r="H277" i="4860"/>
  <c r="H291" i="4860"/>
  <c r="G306" i="4860"/>
  <c r="G320" i="4860"/>
  <c r="G334" i="4860"/>
  <c r="G349" i="4860"/>
  <c r="G363" i="4860"/>
  <c r="G377" i="4860"/>
  <c r="G390" i="4860"/>
  <c r="H400" i="4860"/>
  <c r="G411" i="4860"/>
  <c r="G422" i="4860"/>
  <c r="H432" i="4860"/>
  <c r="G443" i="4860"/>
  <c r="H456" i="4860"/>
  <c r="G467" i="4860"/>
  <c r="G478" i="4860"/>
  <c r="G293" i="4860"/>
  <c r="G314" i="4860"/>
  <c r="H335" i="4860"/>
  <c r="G353" i="4860"/>
  <c r="G371" i="4860"/>
  <c r="G385" i="4860"/>
  <c r="H398" i="4860"/>
  <c r="G409" i="4860"/>
  <c r="H422" i="4860"/>
  <c r="G444" i="4860"/>
  <c r="G465" i="4860"/>
  <c r="G74" i="4860"/>
  <c r="G116" i="4860"/>
  <c r="G150" i="4860"/>
  <c r="G15" i="4860"/>
  <c r="H57" i="4860"/>
  <c r="H100" i="4860"/>
  <c r="G143" i="4860"/>
  <c r="H182" i="4860"/>
  <c r="H214" i="4860"/>
  <c r="H246" i="4860"/>
  <c r="H278" i="4860"/>
  <c r="H310" i="4860"/>
  <c r="H342" i="4860"/>
  <c r="H374" i="4860"/>
  <c r="G41" i="4860"/>
  <c r="H98" i="4860"/>
  <c r="G155" i="4860"/>
  <c r="G202" i="4860"/>
  <c r="G17" i="4860"/>
  <c r="H74" i="4860"/>
  <c r="G131" i="4860"/>
  <c r="G184" i="4860"/>
  <c r="G227" i="4860"/>
  <c r="H46" i="4860"/>
  <c r="H103" i="4860"/>
  <c r="H160" i="4860"/>
  <c r="G206" i="4860"/>
  <c r="H227" i="4860"/>
  <c r="G241" i="4860"/>
  <c r="G254" i="4860"/>
  <c r="G270" i="4860"/>
  <c r="G19" i="4860"/>
  <c r="G37" i="4860"/>
  <c r="H58" i="4860"/>
  <c r="H75" i="4860"/>
  <c r="H93" i="4860"/>
  <c r="G115" i="4860"/>
  <c r="G133" i="4860"/>
  <c r="H150" i="4860"/>
  <c r="H171" i="4860"/>
  <c r="H185" i="4860"/>
  <c r="G199" i="4860"/>
  <c r="G215" i="4860"/>
  <c r="G228" i="4860"/>
  <c r="H241" i="4860"/>
  <c r="H257" i="4860"/>
  <c r="G271" i="4860"/>
  <c r="G284" i="4860"/>
  <c r="G300" i="4860"/>
  <c r="H313" i="4860"/>
  <c r="G327" i="4860"/>
  <c r="G343" i="4860"/>
  <c r="G356" i="4860"/>
  <c r="H369" i="4860"/>
  <c r="H385" i="4860"/>
  <c r="H395" i="4860"/>
  <c r="H405" i="4860"/>
  <c r="H417" i="4860"/>
  <c r="H427" i="4860"/>
  <c r="H435" i="4860"/>
  <c r="H443" i="4860"/>
  <c r="H451" i="4860"/>
  <c r="H459" i="4860"/>
  <c r="H467" i="4860"/>
  <c r="H475" i="4860"/>
  <c r="H483" i="4860"/>
  <c r="G242" i="4860"/>
  <c r="G473" i="4860"/>
  <c r="G452" i="4860"/>
  <c r="G243" i="4860"/>
  <c r="H271" i="4860"/>
  <c r="H285" i="4860"/>
  <c r="H317" i="4860"/>
  <c r="H390" i="4860"/>
  <c r="H446" i="4860"/>
  <c r="G256" i="4860"/>
  <c r="H275" i="4860"/>
  <c r="G290" i="4860"/>
  <c r="G304" i="4860"/>
  <c r="G318" i="4860"/>
  <c r="G333" i="4860"/>
  <c r="G347" i="4860"/>
  <c r="G361" i="4860"/>
  <c r="H375" i="4860"/>
  <c r="H388" i="4860"/>
  <c r="G399" i="4860"/>
  <c r="G410" i="4860"/>
  <c r="H420" i="4860"/>
  <c r="G431" i="4860"/>
  <c r="G442" i="4860"/>
  <c r="H452" i="4860"/>
  <c r="G463" i="4860"/>
  <c r="G474" i="4860"/>
  <c r="H484" i="4860"/>
  <c r="G258" i="4860"/>
  <c r="G277" i="4860"/>
  <c r="G291" i="4860"/>
  <c r="G305" i="4860"/>
  <c r="H319" i="4860"/>
  <c r="H333" i="4860"/>
  <c r="H347" i="4860"/>
  <c r="G362" i="4860"/>
  <c r="G376" i="4860"/>
  <c r="G389" i="4860"/>
  <c r="G400" i="4860"/>
  <c r="H410" i="4860"/>
  <c r="G421" i="4860"/>
  <c r="G432" i="4860"/>
  <c r="H442" i="4860"/>
  <c r="G453" i="4860"/>
  <c r="G464" i="4860"/>
  <c r="H474" i="4860"/>
  <c r="G240" i="4860"/>
  <c r="G264" i="4860"/>
  <c r="G281" i="4860"/>
  <c r="H295" i="4860"/>
  <c r="H309" i="4860"/>
  <c r="H323" i="4860"/>
  <c r="G338" i="4860"/>
  <c r="G352" i="4860"/>
  <c r="G366" i="4860"/>
  <c r="G381" i="4860"/>
  <c r="H392" i="4860"/>
  <c r="G403" i="4860"/>
  <c r="G414" i="4860"/>
  <c r="H424" i="4860"/>
  <c r="G435" i="4860"/>
  <c r="H448" i="4860"/>
  <c r="G459" i="4860"/>
  <c r="G470" i="4860"/>
  <c r="H480" i="4860"/>
  <c r="H299" i="4860"/>
  <c r="G321" i="4860"/>
  <c r="G339" i="4860"/>
  <c r="G357" i="4860"/>
  <c r="G374" i="4860"/>
  <c r="G388" i="4860"/>
  <c r="G401" i="4860"/>
  <c r="H414" i="4860"/>
  <c r="G428" i="4860"/>
  <c r="G449" i="4860"/>
  <c r="G476" i="4860"/>
  <c r="G16" i="4860"/>
  <c r="H25" i="4860"/>
  <c r="H190" i="4860"/>
  <c r="H318" i="4860"/>
  <c r="H112" i="4860"/>
  <c r="H88" i="4860"/>
  <c r="G61" i="4860"/>
  <c r="G230" i="4860"/>
  <c r="H22" i="4860"/>
  <c r="G101" i="4860"/>
  <c r="G175" i="4860"/>
  <c r="G231" i="4860"/>
  <c r="H289" i="4860"/>
  <c r="H345" i="4860"/>
  <c r="H397" i="4860"/>
  <c r="H437" i="4860"/>
  <c r="H469" i="4860"/>
  <c r="G481" i="4860"/>
  <c r="G289" i="4860"/>
  <c r="H261" i="4860"/>
  <c r="G322" i="4860"/>
  <c r="G379" i="4860"/>
  <c r="G423" i="4860"/>
  <c r="G466" i="4860"/>
  <c r="G280" i="4860"/>
  <c r="G337" i="4860"/>
  <c r="G392" i="4860"/>
  <c r="H434" i="4860"/>
  <c r="G477" i="4860"/>
  <c r="G299" i="4860"/>
  <c r="H355" i="4860"/>
  <c r="G406" i="4860"/>
  <c r="G451" i="4860"/>
  <c r="G307" i="4860"/>
  <c r="G378" i="4860"/>
  <c r="H430" i="4860"/>
  <c r="G84" i="4860"/>
  <c r="H68" i="4860"/>
  <c r="H222" i="4860"/>
  <c r="H350" i="4860"/>
  <c r="G169" i="4860"/>
  <c r="G145" i="4860"/>
  <c r="H117" i="4860"/>
  <c r="H243" i="4860"/>
  <c r="H43" i="4860"/>
  <c r="H118" i="4860"/>
  <c r="G188" i="4860"/>
  <c r="G247" i="4860"/>
  <c r="G303" i="4860"/>
  <c r="G359" i="4860"/>
  <c r="H409" i="4860"/>
  <c r="H445" i="4860"/>
  <c r="H477" i="4860"/>
  <c r="H462" i="4860"/>
  <c r="G328" i="4860"/>
  <c r="H279" i="4860"/>
  <c r="G336" i="4860"/>
  <c r="G391" i="4860"/>
  <c r="G434" i="4860"/>
  <c r="H476" i="4860"/>
  <c r="G294" i="4860"/>
  <c r="H351" i="4860"/>
  <c r="H402" i="4860"/>
  <c r="G445" i="4860"/>
  <c r="G248" i="4860"/>
  <c r="G313" i="4860"/>
  <c r="G370" i="4860"/>
  <c r="H416" i="4860"/>
  <c r="G462" i="4860"/>
  <c r="G325" i="4860"/>
  <c r="G393" i="4860"/>
  <c r="H454" i="4860"/>
  <c r="G126" i="4860"/>
  <c r="G111" i="4860"/>
  <c r="H254" i="4860"/>
  <c r="H382" i="4860"/>
  <c r="H215" i="4860"/>
  <c r="G195" i="4860"/>
  <c r="G174" i="4860"/>
  <c r="H259" i="4860"/>
  <c r="H61" i="4860"/>
  <c r="H136" i="4860"/>
  <c r="G204" i="4860"/>
  <c r="G260" i="4860"/>
  <c r="G316" i="4860"/>
  <c r="G375" i="4860"/>
  <c r="H419" i="4860"/>
  <c r="H453" i="4860"/>
  <c r="H207" i="4860"/>
  <c r="G250" i="4860"/>
  <c r="G412" i="4860"/>
  <c r="H293" i="4860"/>
  <c r="G350" i="4860"/>
  <c r="G402" i="4860"/>
  <c r="H444" i="4860"/>
  <c r="H237" i="4860"/>
  <c r="G309" i="4860"/>
  <c r="H365" i="4860"/>
  <c r="G413" i="4860"/>
  <c r="G456" i="4860"/>
  <c r="H269" i="4860"/>
  <c r="H327" i="4860"/>
  <c r="G384" i="4860"/>
  <c r="G427" i="4860"/>
  <c r="H472" i="4860"/>
  <c r="G342" i="4860"/>
  <c r="G404" i="4860"/>
  <c r="G484" i="4860"/>
  <c r="G158" i="4860"/>
  <c r="H153" i="4860"/>
  <c r="H286" i="4860"/>
  <c r="H55" i="4860"/>
  <c r="H31" i="4860"/>
  <c r="H3" i="4860"/>
  <c r="G209" i="4860"/>
  <c r="G5" i="4860"/>
  <c r="H79" i="4860"/>
  <c r="H157" i="4860"/>
  <c r="H217" i="4860"/>
  <c r="H273" i="4860"/>
  <c r="G332" i="4860"/>
  <c r="H387" i="4860"/>
  <c r="H429" i="4860"/>
  <c r="H461" i="4860"/>
  <c r="G245" i="4860"/>
  <c r="G275" i="4860"/>
  <c r="G468" i="4860"/>
  <c r="H307" i="4860"/>
  <c r="G365" i="4860"/>
  <c r="H412" i="4860"/>
  <c r="G455" i="4860"/>
  <c r="H263" i="4860"/>
  <c r="G323" i="4860"/>
  <c r="H379" i="4860"/>
  <c r="G424" i="4860"/>
  <c r="H466" i="4860"/>
  <c r="G285" i="4860"/>
  <c r="H341" i="4860"/>
  <c r="G395" i="4860"/>
  <c r="G438" i="4860"/>
  <c r="G483" i="4860"/>
  <c r="G360" i="4860"/>
  <c r="G417" i="4860"/>
  <c r="J18" i="4860"/>
  <c r="K16" i="4860"/>
  <c r="K24" i="4860"/>
  <c r="K23" i="4860"/>
  <c r="J21" i="4860"/>
  <c r="J20" i="4860"/>
  <c r="K18" i="4860"/>
  <c r="K17" i="4860"/>
  <c r="K25" i="4860"/>
  <c r="J23" i="4860"/>
  <c r="J22" i="4860"/>
  <c r="K20" i="4860"/>
  <c r="K19" i="4860"/>
  <c r="J17" i="4860"/>
  <c r="J25" i="4860"/>
  <c r="J16" i="4860"/>
  <c r="J19" i="4860"/>
  <c r="J24" i="4860"/>
  <c r="K22" i="4860"/>
  <c r="K21" i="4860"/>
  <c r="D3" i="4861"/>
  <c r="D19" i="4861"/>
  <c r="D35" i="4861"/>
  <c r="D51" i="4861"/>
  <c r="D67" i="4861"/>
  <c r="D83" i="4861"/>
  <c r="D99" i="4861"/>
  <c r="D115" i="4861"/>
  <c r="D131" i="4861"/>
  <c r="D147" i="4861"/>
  <c r="D163" i="4861"/>
  <c r="D179" i="4861"/>
  <c r="D195" i="4861"/>
  <c r="D211" i="4861"/>
  <c r="D227" i="4861"/>
  <c r="D243" i="4861"/>
  <c r="D259" i="4861"/>
  <c r="D275" i="4861"/>
  <c r="D291" i="4861"/>
  <c r="D307" i="4861"/>
  <c r="D8" i="4861"/>
  <c r="D24" i="4861"/>
  <c r="D40" i="4861"/>
  <c r="D56" i="4861"/>
  <c r="D72" i="4861"/>
  <c r="D88" i="4861"/>
  <c r="D104" i="4861"/>
  <c r="D120" i="4861"/>
  <c r="D136" i="4861"/>
  <c r="D152" i="4861"/>
  <c r="D168" i="4861"/>
  <c r="D184" i="4861"/>
  <c r="D200" i="4861"/>
  <c r="D216" i="4861"/>
  <c r="D232" i="4861"/>
  <c r="D248" i="4861"/>
  <c r="D264" i="4861"/>
  <c r="D280" i="4861"/>
  <c r="D296" i="4861"/>
  <c r="D312" i="4861"/>
  <c r="D328" i="4861"/>
  <c r="D5" i="4861"/>
  <c r="D21" i="4861"/>
  <c r="D37" i="4861"/>
  <c r="D53" i="4861"/>
  <c r="D69" i="4861"/>
  <c r="D85" i="4861"/>
  <c r="D101" i="4861"/>
  <c r="D117" i="4861"/>
  <c r="D133" i="4861"/>
  <c r="D149" i="4861"/>
  <c r="D165" i="4861"/>
  <c r="D181" i="4861"/>
  <c r="D197" i="4861"/>
  <c r="D213" i="4861"/>
  <c r="D229" i="4861"/>
  <c r="D245" i="4861"/>
  <c r="D261" i="4861"/>
  <c r="D277" i="4861"/>
  <c r="D293" i="4861"/>
  <c r="D62" i="4861"/>
  <c r="D126" i="4861"/>
  <c r="D190" i="4861"/>
  <c r="D254" i="4861"/>
  <c r="D306" i="4861"/>
  <c r="D331" i="4861"/>
  <c r="D7" i="4861"/>
  <c r="D23" i="4861"/>
  <c r="D39" i="4861"/>
  <c r="D55" i="4861"/>
  <c r="D71" i="4861"/>
  <c r="D87" i="4861"/>
  <c r="D103" i="4861"/>
  <c r="D119" i="4861"/>
  <c r="D135" i="4861"/>
  <c r="D151" i="4861"/>
  <c r="D167" i="4861"/>
  <c r="D183" i="4861"/>
  <c r="D199" i="4861"/>
  <c r="D215" i="4861"/>
  <c r="D231" i="4861"/>
  <c r="D247" i="4861"/>
  <c r="D263" i="4861"/>
  <c r="D279" i="4861"/>
  <c r="D295" i="4861"/>
  <c r="D311" i="4861"/>
  <c r="D12" i="4861"/>
  <c r="D28" i="4861"/>
  <c r="D44" i="4861"/>
  <c r="D60" i="4861"/>
  <c r="D76" i="4861"/>
  <c r="D92" i="4861"/>
  <c r="D108" i="4861"/>
  <c r="D124" i="4861"/>
  <c r="D140" i="4861"/>
  <c r="D156" i="4861"/>
  <c r="D172" i="4861"/>
  <c r="D188" i="4861"/>
  <c r="D204" i="4861"/>
  <c r="D220" i="4861"/>
  <c r="D236" i="4861"/>
  <c r="D252" i="4861"/>
  <c r="D268" i="4861"/>
  <c r="D284" i="4861"/>
  <c r="D300" i="4861"/>
  <c r="D316" i="4861"/>
  <c r="D332" i="4861"/>
  <c r="D9" i="4861"/>
  <c r="D25" i="4861"/>
  <c r="D41" i="4861"/>
  <c r="D57" i="4861"/>
  <c r="D73" i="4861"/>
  <c r="D89" i="4861"/>
  <c r="D105" i="4861"/>
  <c r="D121" i="4861"/>
  <c r="D137" i="4861"/>
  <c r="D153" i="4861"/>
  <c r="D169" i="4861"/>
  <c r="D185" i="4861"/>
  <c r="D201" i="4861"/>
  <c r="D217" i="4861"/>
  <c r="D233" i="4861"/>
  <c r="D249" i="4861"/>
  <c r="D265" i="4861"/>
  <c r="D281" i="4861"/>
  <c r="D14" i="4861"/>
  <c r="D78" i="4861"/>
  <c r="D142" i="4861"/>
  <c r="D206" i="4861"/>
  <c r="D270" i="4861"/>
  <c r="D314" i="4861"/>
  <c r="D337" i="4861"/>
  <c r="D354" i="4861"/>
  <c r="D370" i="4861"/>
  <c r="D386" i="4861"/>
  <c r="D402" i="4861"/>
  <c r="D418" i="4861"/>
  <c r="D434" i="4861"/>
  <c r="D11" i="4861"/>
  <c r="D27" i="4861"/>
  <c r="D43" i="4861"/>
  <c r="D59" i="4861"/>
  <c r="D75" i="4861"/>
  <c r="D91" i="4861"/>
  <c r="D107" i="4861"/>
  <c r="D123" i="4861"/>
  <c r="D139" i="4861"/>
  <c r="D155" i="4861"/>
  <c r="D171" i="4861"/>
  <c r="D187" i="4861"/>
  <c r="D203" i="4861"/>
  <c r="D219" i="4861"/>
  <c r="D235" i="4861"/>
  <c r="D251" i="4861"/>
  <c r="D267" i="4861"/>
  <c r="D283" i="4861"/>
  <c r="D299" i="4861"/>
  <c r="D315" i="4861"/>
  <c r="D16" i="4861"/>
  <c r="D32" i="4861"/>
  <c r="D48" i="4861"/>
  <c r="D64" i="4861"/>
  <c r="D80" i="4861"/>
  <c r="D96" i="4861"/>
  <c r="D112" i="4861"/>
  <c r="D128" i="4861"/>
  <c r="D144" i="4861"/>
  <c r="D160" i="4861"/>
  <c r="D176" i="4861"/>
  <c r="D192" i="4861"/>
  <c r="D208" i="4861"/>
  <c r="D224" i="4861"/>
  <c r="D240" i="4861"/>
  <c r="D256" i="4861"/>
  <c r="D272" i="4861"/>
  <c r="D288" i="4861"/>
  <c r="D304" i="4861"/>
  <c r="D320" i="4861"/>
  <c r="D336" i="4861"/>
  <c r="D13" i="4861"/>
  <c r="D29" i="4861"/>
  <c r="D45" i="4861"/>
  <c r="D61" i="4861"/>
  <c r="D77" i="4861"/>
  <c r="D93" i="4861"/>
  <c r="D109" i="4861"/>
  <c r="D125" i="4861"/>
  <c r="D141" i="4861"/>
  <c r="D157" i="4861"/>
  <c r="D173" i="4861"/>
  <c r="D189" i="4861"/>
  <c r="D205" i="4861"/>
  <c r="D221" i="4861"/>
  <c r="D237" i="4861"/>
  <c r="D253" i="4861"/>
  <c r="D269" i="4861"/>
  <c r="D285" i="4861"/>
  <c r="D30" i="4861"/>
  <c r="D94" i="4861"/>
  <c r="D158" i="4861"/>
  <c r="D222" i="4861"/>
  <c r="D286" i="4861"/>
  <c r="D321" i="4861"/>
  <c r="D342" i="4861"/>
  <c r="D358" i="4861"/>
  <c r="D374" i="4861"/>
  <c r="D390" i="4861"/>
  <c r="D406" i="4861"/>
  <c r="D422" i="4861"/>
  <c r="D438" i="4861"/>
  <c r="D454" i="4861"/>
  <c r="D470" i="4861"/>
  <c r="D22" i="4861"/>
  <c r="D278" i="4861"/>
  <c r="D344" i="4861"/>
  <c r="D376" i="4861"/>
  <c r="D34" i="4861"/>
  <c r="D98" i="4861"/>
  <c r="D162" i="4861"/>
  <c r="D226" i="4861"/>
  <c r="D290" i="4861"/>
  <c r="D322" i="4861"/>
  <c r="D343" i="4861"/>
  <c r="D15" i="4861"/>
  <c r="D79" i="4861"/>
  <c r="D143" i="4861"/>
  <c r="D207" i="4861"/>
  <c r="D271" i="4861"/>
  <c r="D20" i="4861"/>
  <c r="D84" i="4861"/>
  <c r="D148" i="4861"/>
  <c r="D212" i="4861"/>
  <c r="D276" i="4861"/>
  <c r="D340" i="4861"/>
  <c r="D65" i="4861"/>
  <c r="D129" i="4861"/>
  <c r="D193" i="4861"/>
  <c r="D257" i="4861"/>
  <c r="D110" i="4861"/>
  <c r="D326" i="4861"/>
  <c r="D366" i="4861"/>
  <c r="D398" i="4861"/>
  <c r="D430" i="4861"/>
  <c r="D458" i="4861"/>
  <c r="D478" i="4861"/>
  <c r="D246" i="4861"/>
  <c r="D352" i="4861"/>
  <c r="D392" i="4861"/>
  <c r="D82" i="4861"/>
  <c r="D178" i="4861"/>
  <c r="D258" i="4861"/>
  <c r="D317" i="4861"/>
  <c r="D347" i="4861"/>
  <c r="D363" i="4861"/>
  <c r="D379" i="4861"/>
  <c r="D395" i="4861"/>
  <c r="D411" i="4861"/>
  <c r="D427" i="4861"/>
  <c r="D443" i="4861"/>
  <c r="D459" i="4861"/>
  <c r="D475" i="4861"/>
  <c r="D38" i="4861"/>
  <c r="D102" i="4861"/>
  <c r="D182" i="4861"/>
  <c r="D294" i="4861"/>
  <c r="D339" i="4861"/>
  <c r="D372" i="4861"/>
  <c r="D106" i="4861"/>
  <c r="D325" i="4861"/>
  <c r="D393" i="4861"/>
  <c r="D425" i="4861"/>
  <c r="D457" i="4861"/>
  <c r="D476" i="4861"/>
  <c r="D335" i="4861"/>
  <c r="D429" i="4861"/>
  <c r="D90" i="4861"/>
  <c r="D373" i="4861"/>
  <c r="D448" i="4861"/>
  <c r="D122" i="4861"/>
  <c r="D330" i="4861"/>
  <c r="D396" i="4861"/>
  <c r="D428" i="4861"/>
  <c r="D460" i="4861"/>
  <c r="D202" i="4861"/>
  <c r="D405" i="4861"/>
  <c r="D469" i="4861"/>
  <c r="D357" i="4861"/>
  <c r="D440" i="4861"/>
  <c r="D31" i="4861"/>
  <c r="D95" i="4861"/>
  <c r="D159" i="4861"/>
  <c r="D223" i="4861"/>
  <c r="D287" i="4861"/>
  <c r="D36" i="4861"/>
  <c r="D100" i="4861"/>
  <c r="D164" i="4861"/>
  <c r="D228" i="4861"/>
  <c r="D292" i="4861"/>
  <c r="D17" i="4861"/>
  <c r="D81" i="4861"/>
  <c r="D145" i="4861"/>
  <c r="D209" i="4861"/>
  <c r="D273" i="4861"/>
  <c r="D174" i="4861"/>
  <c r="D346" i="4861"/>
  <c r="D378" i="4861"/>
  <c r="D410" i="4861"/>
  <c r="D442" i="4861"/>
  <c r="D462" i="4861"/>
  <c r="D482" i="4861"/>
  <c r="D302" i="4861"/>
  <c r="D360" i="4861"/>
  <c r="D18" i="4861"/>
  <c r="D114" i="4861"/>
  <c r="D194" i="4861"/>
  <c r="D274" i="4861"/>
  <c r="D327" i="4861"/>
  <c r="D351" i="4861"/>
  <c r="D367" i="4861"/>
  <c r="D383" i="4861"/>
  <c r="D399" i="4861"/>
  <c r="D415" i="4861"/>
  <c r="D431" i="4861"/>
  <c r="D447" i="4861"/>
  <c r="D463" i="4861"/>
  <c r="D479" i="4861"/>
  <c r="D54" i="4861"/>
  <c r="D118" i="4861"/>
  <c r="D198" i="4861"/>
  <c r="D310" i="4861"/>
  <c r="D348" i="4861"/>
  <c r="D380" i="4861"/>
  <c r="D170" i="4861"/>
  <c r="D345" i="4861"/>
  <c r="D401" i="4861"/>
  <c r="D433" i="4861"/>
  <c r="D465" i="4861"/>
  <c r="D10" i="4861"/>
  <c r="D369" i="4861"/>
  <c r="D445" i="4861"/>
  <c r="D218" i="4861"/>
  <c r="D400" i="4861"/>
  <c r="D464" i="4861"/>
  <c r="D186" i="4861"/>
  <c r="D349" i="4861"/>
  <c r="D404" i="4861"/>
  <c r="D436" i="4861"/>
  <c r="D468" i="4861"/>
  <c r="D313" i="4861"/>
  <c r="D421" i="4861"/>
  <c r="D26" i="4861"/>
  <c r="D389" i="4861"/>
  <c r="D456" i="4861"/>
  <c r="D47" i="4861"/>
  <c r="D111" i="4861"/>
  <c r="D175" i="4861"/>
  <c r="D239" i="4861"/>
  <c r="D303" i="4861"/>
  <c r="D52" i="4861"/>
  <c r="D116" i="4861"/>
  <c r="D180" i="4861"/>
  <c r="D244" i="4861"/>
  <c r="D308" i="4861"/>
  <c r="D33" i="4861"/>
  <c r="D97" i="4861"/>
  <c r="D161" i="4861"/>
  <c r="D225" i="4861"/>
  <c r="D289" i="4861"/>
  <c r="D238" i="4861"/>
  <c r="D350" i="4861"/>
  <c r="D382" i="4861"/>
  <c r="D414" i="4861"/>
  <c r="D446" i="4861"/>
  <c r="D466" i="4861"/>
  <c r="D166" i="4861"/>
  <c r="D318" i="4861"/>
  <c r="D368" i="4861"/>
  <c r="D50" i="4861"/>
  <c r="D130" i="4861"/>
  <c r="D210" i="4861"/>
  <c r="D301" i="4861"/>
  <c r="D333" i="4861"/>
  <c r="D355" i="4861"/>
  <c r="D371" i="4861"/>
  <c r="D387" i="4861"/>
  <c r="D403" i="4861"/>
  <c r="D419" i="4861"/>
  <c r="D435" i="4861"/>
  <c r="D451" i="4861"/>
  <c r="D467" i="4861"/>
  <c r="D483" i="4861"/>
  <c r="D70" i="4861"/>
  <c r="D134" i="4861"/>
  <c r="D230" i="4861"/>
  <c r="D323" i="4861"/>
  <c r="D356" i="4861"/>
  <c r="D388" i="4861"/>
  <c r="D234" i="4861"/>
  <c r="D361" i="4861"/>
  <c r="D409" i="4861"/>
  <c r="D441" i="4861"/>
  <c r="D473" i="4861"/>
  <c r="D138" i="4861"/>
  <c r="D397" i="4861"/>
  <c r="D461" i="4861"/>
  <c r="D319" i="4861"/>
  <c r="D416" i="4861"/>
  <c r="D480" i="4861"/>
  <c r="D250" i="4861"/>
  <c r="D365" i="4861"/>
  <c r="D412" i="4861"/>
  <c r="D444" i="4861"/>
  <c r="D484" i="4861"/>
  <c r="D353" i="4861"/>
  <c r="D437" i="4861"/>
  <c r="D154" i="4861"/>
  <c r="D408" i="4861"/>
  <c r="D472" i="4861"/>
  <c r="D63" i="4861"/>
  <c r="D4" i="4861"/>
  <c r="D260" i="4861"/>
  <c r="D177" i="4861"/>
  <c r="D362" i="4861"/>
  <c r="D474" i="4861"/>
  <c r="D66" i="4861"/>
  <c r="D338" i="4861"/>
  <c r="D407" i="4861"/>
  <c r="D471" i="4861"/>
  <c r="D262" i="4861"/>
  <c r="D297" i="4861"/>
  <c r="D481" i="4861"/>
  <c r="D341" i="4861"/>
  <c r="D381" i="4861"/>
  <c r="D385" i="4861"/>
  <c r="D127" i="4861"/>
  <c r="D68" i="4861"/>
  <c r="D324" i="4861"/>
  <c r="D241" i="4861"/>
  <c r="D394" i="4861"/>
  <c r="D214" i="4861"/>
  <c r="D146" i="4861"/>
  <c r="D359" i="4861"/>
  <c r="D423" i="4861"/>
  <c r="D6" i="4861"/>
  <c r="D334" i="4861"/>
  <c r="D377" i="4861"/>
  <c r="D266" i="4861"/>
  <c r="D432" i="4861"/>
  <c r="D420" i="4861"/>
  <c r="D453" i="4861"/>
  <c r="D191" i="4861"/>
  <c r="D132" i="4861"/>
  <c r="D49" i="4861"/>
  <c r="D46" i="4861"/>
  <c r="D426" i="4861"/>
  <c r="D329" i="4861"/>
  <c r="D242" i="4861"/>
  <c r="D375" i="4861"/>
  <c r="D439" i="4861"/>
  <c r="D86" i="4861"/>
  <c r="D364" i="4861"/>
  <c r="D417" i="4861"/>
  <c r="D413" i="4861"/>
  <c r="D58" i="4861"/>
  <c r="D452" i="4861"/>
  <c r="D282" i="4861"/>
  <c r="D255" i="4861"/>
  <c r="D450" i="4861"/>
  <c r="D455" i="4861"/>
  <c r="D477" i="4861"/>
  <c r="D196" i="4861"/>
  <c r="D384" i="4861"/>
  <c r="D150" i="4861"/>
  <c r="D305" i="4861"/>
  <c r="D113" i="4861"/>
  <c r="D309" i="4861"/>
  <c r="D42" i="4861"/>
  <c r="D74" i="4861"/>
  <c r="D298" i="4861"/>
  <c r="D391" i="4861"/>
  <c r="D449" i="4861"/>
  <c r="D424" i="4861"/>
  <c r="N2" i="4860"/>
  <c r="M3" i="4860"/>
  <c r="O4" i="4860"/>
  <c r="O3" i="4860"/>
  <c r="N4" i="4860"/>
  <c r="O2" i="4860"/>
  <c r="M2" i="4860"/>
  <c r="M4" i="4860"/>
  <c r="N3" i="4860"/>
  <c r="K6" i="4860"/>
  <c r="J7" i="4860"/>
  <c r="K9" i="4860"/>
  <c r="J8" i="4860"/>
  <c r="K3" i="4860"/>
  <c r="K8" i="4860"/>
  <c r="J9" i="4860"/>
  <c r="J2" i="4860"/>
  <c r="K2" i="4860"/>
  <c r="J3" i="4860"/>
  <c r="K5" i="4860"/>
  <c r="J4" i="4860"/>
  <c r="K7" i="4860"/>
  <c r="J6" i="4860"/>
  <c r="K4" i="4860"/>
  <c r="J5" i="4860"/>
  <c r="Q2" i="4860" a="1"/>
  <c r="Q4" i="4860" l="1"/>
  <c r="R3" i="4860"/>
  <c r="Q3" i="4860"/>
  <c r="S4" i="4860"/>
  <c r="R4" i="4860"/>
  <c r="R2" i="4860"/>
  <c r="S2" i="4860"/>
  <c r="Q2" i="4860"/>
  <c r="S3" i="4860"/>
</calcChain>
</file>

<file path=xl/connections.xml><?xml version="1.0" encoding="utf-8"?>
<connections xmlns="http://schemas.openxmlformats.org/spreadsheetml/2006/main">
  <connection id="1" name="Connexion3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<sst xmlns="http://schemas.openxmlformats.org/spreadsheetml/2006/main" count="28" uniqueCount="23">
  <si>
    <t>Date</t>
  </si>
  <si>
    <t>GSPC</t>
  </si>
  <si>
    <t>VADFX</t>
  </si>
  <si>
    <t>GOOG</t>
  </si>
  <si>
    <t>Beta</t>
  </si>
  <si>
    <t>Adjusted beta</t>
  </si>
  <si>
    <t>Correlation matrix</t>
  </si>
  <si>
    <t>Volatility</t>
  </si>
  <si>
    <t>Descriptive stats (matrix 8*2)</t>
  </si>
  <si>
    <t>Covariance matrix (Inputs: Correl matrix, Vol matrix)</t>
  </si>
  <si>
    <t>Semi-Deviation (Input: MAR = Minimum Acceptable Return)</t>
  </si>
  <si>
    <t>Quantile</t>
  </si>
  <si>
    <t>Fund</t>
  </si>
  <si>
    <t>Excess Return</t>
  </si>
  <si>
    <t>Risk-free rate</t>
  </si>
  <si>
    <t>Sharpe ratio</t>
  </si>
  <si>
    <t>Tracking error</t>
  </si>
  <si>
    <t>Treynor ratio</t>
  </si>
  <si>
    <t>Sortino ratio</t>
  </si>
  <si>
    <t>Minimum Acceptable Retun (MAR)</t>
  </si>
  <si>
    <t>Tracking difference</t>
  </si>
  <si>
    <t>Information ratio</t>
  </si>
  <si>
    <t>Stock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</si>
</sst>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;@"/>
    <numFmt numFmtId="165" formatCode="0.0E+00"/>
    <numFmt numFmtId="166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0" xfId="0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right"/>
    </xf>
    <xf numFmtId="0" fontId="0" fillId="2" borderId="1" xfId="0" applyFill="1" applyBorder="1"/>
    <xf numFmtId="9" fontId="0" fillId="2" borderId="1" xfId="0" applyNumberFormat="1" applyFill="1" applyBorder="1"/>
    <xf numFmtId="164" fontId="0" fillId="0" borderId="1" xfId="0" applyNumberFormat="1" applyBorder="1"/>
    <xf numFmtId="0" fontId="1" fillId="0" borderId="1" xfId="0" applyFont="1" applyBorder="1" applyAlignment="1">
      <alignment horizontal="center"/>
    </xf>
    <xf numFmtId="166" fontId="0" fillId="0" borderId="1" xfId="0" applyNumberFormat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'PM_ST Example'!$J$16:$J$25</c:f>
              <c:numCache>
                <c:formatCode>General</c:formatCode>
                <c:ptCount val="10"/>
                <c:pt idx="0">
                  <c:v>-2.5000000000000001E-2</c:v>
                </c:pt>
                <c:pt idx="1">
                  <c:v>-1.9599999999999999E-2</c:v>
                </c:pt>
                <c:pt idx="2">
                  <c:v>-1.41E-2</c:v>
                </c:pt>
                <c:pt idx="3">
                  <c:v>-8.6999999999999994E-3</c:v>
                </c:pt>
                <c:pt idx="4">
                  <c:v>-3.2000000000000002E-3</c:v>
                </c:pt>
                <c:pt idx="5">
                  <c:v>2.2000000000000001E-3</c:v>
                </c:pt>
                <c:pt idx="6">
                  <c:v>7.7000000000000002E-3</c:v>
                </c:pt>
                <c:pt idx="7">
                  <c:v>1.3100000000000001E-2</c:v>
                </c:pt>
                <c:pt idx="8">
                  <c:v>1.8599999999999998E-2</c:v>
                </c:pt>
                <c:pt idx="9">
                  <c:v>2.4E-2</c:v>
                </c:pt>
              </c:numCache>
            </c:numRef>
          </c:cat>
          <c:val>
            <c:numRef>
              <c:f>'PM_ST Example'!$K$16:$K$25</c:f>
              <c:numCache>
                <c:formatCode>General</c:formatCode>
                <c:ptCount val="10"/>
                <c:pt idx="0">
                  <c:v>2.0746887966804979E-3</c:v>
                </c:pt>
                <c:pt idx="1">
                  <c:v>1.0373443983402489E-2</c:v>
                </c:pt>
                <c:pt idx="2">
                  <c:v>2.2821576763485476E-2</c:v>
                </c:pt>
                <c:pt idx="3">
                  <c:v>6.4315352697095429E-2</c:v>
                </c:pt>
                <c:pt idx="4">
                  <c:v>0.16182572614107885</c:v>
                </c:pt>
                <c:pt idx="5">
                  <c:v>0.32572614107883818</c:v>
                </c:pt>
                <c:pt idx="6">
                  <c:v>0.27385892116182575</c:v>
                </c:pt>
                <c:pt idx="7">
                  <c:v>0.1037344398340249</c:v>
                </c:pt>
                <c:pt idx="8">
                  <c:v>2.6970954356846474E-2</c:v>
                </c:pt>
                <c:pt idx="9">
                  <c:v>8.2987551867219917E-3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545152"/>
        <c:axId val="132551040"/>
      </c:barChart>
      <c:scatterChart>
        <c:scatterStyle val="smoothMarker"/>
        <c:varyColors val="0"/>
        <c:ser>
          <c:idx val="1"/>
          <c:order val="1"/>
          <c:yVal>
            <c:numRef>
              <c:f>'PM_ST Example'!$K$16:$K$25</c:f>
              <c:numCache>
                <c:formatCode>General</c:formatCode>
                <c:ptCount val="10"/>
                <c:pt idx="0">
                  <c:v>2.0746887966804979E-3</c:v>
                </c:pt>
                <c:pt idx="1">
                  <c:v>1.0373443983402489E-2</c:v>
                </c:pt>
                <c:pt idx="2">
                  <c:v>2.2821576763485476E-2</c:v>
                </c:pt>
                <c:pt idx="3">
                  <c:v>6.4315352697095429E-2</c:v>
                </c:pt>
                <c:pt idx="4">
                  <c:v>0.16182572614107885</c:v>
                </c:pt>
                <c:pt idx="5">
                  <c:v>0.32572614107883818</c:v>
                </c:pt>
                <c:pt idx="6">
                  <c:v>0.27385892116182575</c:v>
                </c:pt>
                <c:pt idx="7">
                  <c:v>0.1037344398340249</c:v>
                </c:pt>
                <c:pt idx="8">
                  <c:v>2.6970954356846474E-2</c:v>
                </c:pt>
                <c:pt idx="9">
                  <c:v>8.2987551867219917E-3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45152"/>
        <c:axId val="132551040"/>
      </c:scatterChart>
      <c:catAx>
        <c:axId val="13254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51040"/>
        <c:crosses val="autoZero"/>
        <c:auto val="1"/>
        <c:lblAlgn val="ctr"/>
        <c:lblOffset val="100"/>
        <c:noMultiLvlLbl val="0"/>
      </c:catAx>
      <c:valAx>
        <c:axId val="1325510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254515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14</xdr:row>
      <xdr:rowOff>80962</xdr:rowOff>
    </xdr:from>
    <xdr:to>
      <xdr:col>17</xdr:col>
      <xdr:colOff>466725</xdr:colOff>
      <xdr:row>28</xdr:row>
      <xdr:rowOff>157162</xdr:rowOff>
    </xdr:to>
    <xdr:graphicFrame macro="">
      <xdr:nvGraphicFramePr>
        <xdr:cNvPr id="20" name="Graphique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onnéesExternes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S484"/>
  <sheetViews>
    <sheetView showGridLines="0" tabSelected="1" workbookViewId="0">
      <selection activeCell="A12" sqref="A12"/>
    </sheetView>
  </sheetViews>
  <sheetFormatPr defaultColWidth="11.42578125" defaultRowHeight="15" x14ac:dyDescent="0.25"/>
  <cols>
    <col min="1" max="1" width="10.42578125" bestFit="1" customWidth="1"/>
    <col min="5" max="6" width="11.42578125" style="2"/>
    <col min="8" max="8" width="12" bestFit="1" customWidth="1"/>
    <col min="10" max="10" width="15.5703125" bestFit="1" customWidth="1"/>
    <col min="12" max="12" width="12" bestFit="1" customWidth="1"/>
  </cols>
  <sheetData>
    <row r="1" spans="1:19" x14ac:dyDescent="0.25">
      <c r="A1" s="9" t="s">
        <v>0</v>
      </c>
      <c r="B1" s="9" t="s">
        <v>1</v>
      </c>
      <c r="C1" s="9" t="s">
        <v>2</v>
      </c>
      <c r="D1" s="9" t="s">
        <v>3</v>
      </c>
      <c r="E1" s="11" t="s">
        <v>22</v>
      </c>
      <c r="F1" s="9" t="s">
        <v>1</v>
      </c>
      <c r="G1" s="9" t="s">
        <v>2</v>
      </c>
      <c r="H1" s="9" t="s">
        <v>3</v>
      </c>
      <c r="J1" t="s">
        <v>8</v>
      </c>
      <c r="M1" t="s">
        <v>6</v>
      </c>
      <c r="Q1" t="s">
        <v>9</v>
      </c>
    </row>
    <row r="2" spans="1:19" x14ac:dyDescent="0.25">
      <c r="A2" s="8">
        <v>41428</v>
      </c>
      <c r="B2" s="4">
        <v>1640.420044</v>
      </c>
      <c r="C2" s="4">
        <v>37.445760999999997</v>
      </c>
      <c r="D2" s="4">
        <v>558.46255099999996</v>
      </c>
      <c r="F2" s="4"/>
      <c r="G2" s="4"/>
      <c r="H2" s="4"/>
      <c r="I2" s="2"/>
      <c r="J2" s="4" t="str">
        <f t="array" ref="J2:K9">pm_st_Stats(B2:B484,"d")</f>
        <v>Nobs</v>
      </c>
      <c r="K2" s="5">
        <v>483</v>
      </c>
      <c r="M2" s="4">
        <f t="array" ref="M2:O4">pm_st_CorrelMatrix(B2:D484)</f>
        <v>0.99999999999999989</v>
      </c>
      <c r="N2" s="4">
        <v>0.98760000000000003</v>
      </c>
      <c r="O2" s="4">
        <v>0.25840000000000002</v>
      </c>
      <c r="Q2" s="4">
        <f t="array" ref="Q2:S4">pm_st_Cor2Cov(M2:O4,M7:O7)</f>
        <v>1.3178E-2</v>
      </c>
      <c r="R2" s="4">
        <v>1.3448E-2</v>
      </c>
      <c r="S2" s="4">
        <v>6.3239999999999998E-3</v>
      </c>
    </row>
    <row r="3" spans="1:19" x14ac:dyDescent="0.25">
      <c r="A3" s="8">
        <v>41429</v>
      </c>
      <c r="B3" s="4">
        <v>1631.380005</v>
      </c>
      <c r="C3" s="4">
        <v>37.230178000000002</v>
      </c>
      <c r="D3" s="4">
        <v>559.99250400000005</v>
      </c>
      <c r="F3" s="4">
        <f t="array" ref="F3:F484">pm_st_ArithReturn(B2:B484)</f>
        <v>-5.5108074502410176E-3</v>
      </c>
      <c r="G3" s="4">
        <f t="array" ref="G3:H484">pm_st_ArithReturn(C2:C484)</f>
        <v>-5.7572070707815337E-3</v>
      </c>
      <c r="H3" s="4">
        <v>-5.7572070707815337E-3</v>
      </c>
      <c r="J3" s="4" t="str">
        <v>Mean</v>
      </c>
      <c r="K3" s="5" t="str">
        <v>13.68%</v>
      </c>
      <c r="L3" s="2"/>
      <c r="M3" s="4">
        <v>0.98760000000000003</v>
      </c>
      <c r="N3" s="4">
        <v>1</v>
      </c>
      <c r="O3" s="4">
        <v>0.2404</v>
      </c>
      <c r="Q3" s="4">
        <v>1.3448E-2</v>
      </c>
      <c r="R3" s="4">
        <v>1.4069999999999999E-2</v>
      </c>
      <c r="S3" s="4">
        <v>6.0790000000000002E-3</v>
      </c>
    </row>
    <row r="4" spans="1:19" x14ac:dyDescent="0.25">
      <c r="A4" s="8">
        <v>41430</v>
      </c>
      <c r="B4" s="4">
        <v>1608.900024</v>
      </c>
      <c r="C4" s="4">
        <v>36.705280000000002</v>
      </c>
      <c r="D4" s="4">
        <v>556.97250299999996</v>
      </c>
      <c r="F4" s="4">
        <v>-1.3779733067158628E-2</v>
      </c>
      <c r="G4" s="4">
        <v>-1.4098723890065723E-2</v>
      </c>
      <c r="H4" s="4">
        <v>-1.4098723890065723E-2</v>
      </c>
      <c r="J4" s="4" t="str">
        <v>Volatility</v>
      </c>
      <c r="K4" s="5" t="str">
        <v>11.48%</v>
      </c>
      <c r="L4" s="2"/>
      <c r="M4" s="4">
        <v>0.25840000000000002</v>
      </c>
      <c r="N4" s="4">
        <v>0.2404</v>
      </c>
      <c r="O4" s="4">
        <v>1.0000000000000002</v>
      </c>
      <c r="Q4" s="4">
        <v>6.3239999999999998E-3</v>
      </c>
      <c r="R4" s="4">
        <v>6.0790000000000002E-3</v>
      </c>
      <c r="S4" s="4">
        <v>4.5450999999999998E-2</v>
      </c>
    </row>
    <row r="5" spans="1:19" x14ac:dyDescent="0.25">
      <c r="A5" s="8">
        <v>41431</v>
      </c>
      <c r="B5" s="4">
        <v>1622.5600589999999</v>
      </c>
      <c r="C5" s="4">
        <v>37.070833</v>
      </c>
      <c r="D5" s="4">
        <v>567.16255799999999</v>
      </c>
      <c r="F5" s="4">
        <v>8.4902944845750561E-3</v>
      </c>
      <c r="G5" s="4">
        <v>9.959139393569405E-3</v>
      </c>
      <c r="H5" s="4">
        <v>9.959139393569405E-3</v>
      </c>
      <c r="J5" s="4" t="str">
        <v>Skewness</v>
      </c>
      <c r="K5" s="5" t="str">
        <v>-0.28</v>
      </c>
    </row>
    <row r="6" spans="1:19" x14ac:dyDescent="0.25">
      <c r="A6" s="8">
        <v>41432</v>
      </c>
      <c r="B6" s="4">
        <v>1643.380005</v>
      </c>
      <c r="C6" s="4">
        <v>37.576984000000003</v>
      </c>
      <c r="D6" s="4">
        <v>567.00257399999998</v>
      </c>
      <c r="F6" s="4">
        <v>1.2831541048059281E-2</v>
      </c>
      <c r="G6" s="4">
        <v>1.3653618196278527E-2</v>
      </c>
      <c r="H6" s="4">
        <v>1.3653618196278527E-2</v>
      </c>
      <c r="J6" s="4" t="str">
        <v>Kurtosis</v>
      </c>
      <c r="K6" s="5" t="str">
        <v>0.84</v>
      </c>
      <c r="M6" t="s">
        <v>7</v>
      </c>
    </row>
    <row r="7" spans="1:19" x14ac:dyDescent="0.25">
      <c r="A7" s="8">
        <v>41435</v>
      </c>
      <c r="B7" s="4">
        <v>1642.8100589999999</v>
      </c>
      <c r="C7" s="4">
        <v>37.558238000000003</v>
      </c>
      <c r="D7" s="4">
        <v>569.742571</v>
      </c>
      <c r="F7" s="4">
        <v>-3.4681327402430462E-4</v>
      </c>
      <c r="G7" s="4">
        <v>-4.9886920142394597E-4</v>
      </c>
      <c r="H7" s="10">
        <v>-4.9886920142394597E-4</v>
      </c>
      <c r="I7" s="2"/>
      <c r="J7" s="4" t="str">
        <v>Max</v>
      </c>
      <c r="K7" s="5" t="str">
        <v>2.40%</v>
      </c>
      <c r="L7" s="3"/>
      <c r="M7" s="4">
        <f>pm_st_Volatility(B2:B484,"d")</f>
        <v>0.11479647967120576</v>
      </c>
      <c r="N7" s="4">
        <f t="shared" ref="N7:O7" si="0">pm_st_Volatility(C2:C484,"d")</f>
        <v>0.11861773946280636</v>
      </c>
      <c r="O7" s="4">
        <f t="shared" si="0"/>
        <v>0.21319162791052032</v>
      </c>
    </row>
    <row r="8" spans="1:19" x14ac:dyDescent="0.25">
      <c r="A8" s="8">
        <v>41436</v>
      </c>
      <c r="B8" s="4">
        <v>1626.130005</v>
      </c>
      <c r="C8" s="4">
        <v>37.136445000000002</v>
      </c>
      <c r="D8" s="4">
        <v>543.14246000000003</v>
      </c>
      <c r="F8" s="4">
        <v>-1.0153367340685282E-2</v>
      </c>
      <c r="G8" s="4">
        <v>-1.1230372415234169E-2</v>
      </c>
      <c r="H8" s="4">
        <v>-1.1230372415234169E-2</v>
      </c>
      <c r="I8" s="2"/>
      <c r="J8" s="4" t="str">
        <v>Min</v>
      </c>
      <c r="K8" s="5" t="str">
        <v>-2.50%</v>
      </c>
    </row>
    <row r="9" spans="1:19" x14ac:dyDescent="0.25">
      <c r="A9" s="8">
        <v>41437</v>
      </c>
      <c r="B9" s="4">
        <v>1612.5200199999999</v>
      </c>
      <c r="C9" s="4">
        <v>36.799011</v>
      </c>
      <c r="D9" s="4">
        <v>538.15245600000003</v>
      </c>
      <c r="F9" s="4">
        <v>-8.3695552988705124E-3</v>
      </c>
      <c r="G9" s="4">
        <v>-9.0863301535728525E-3</v>
      </c>
      <c r="H9" s="4">
        <v>-9.0863301535728525E-3</v>
      </c>
      <c r="I9" s="2"/>
      <c r="J9" s="4" t="str">
        <v>Median</v>
      </c>
      <c r="K9" s="5" t="str">
        <v>0.07%</v>
      </c>
    </row>
    <row r="10" spans="1:19" x14ac:dyDescent="0.25">
      <c r="A10" s="8">
        <v>41438</v>
      </c>
      <c r="B10" s="4">
        <v>1636.3599850000001</v>
      </c>
      <c r="C10" s="4">
        <v>37.445760999999997</v>
      </c>
      <c r="D10" s="4">
        <v>554.902556</v>
      </c>
      <c r="F10" s="4">
        <v>1.4784290864184202E-2</v>
      </c>
      <c r="G10" s="4">
        <v>1.7575200594385443E-2</v>
      </c>
      <c r="H10" s="4">
        <v>1.7575200594385443E-2</v>
      </c>
      <c r="I10" s="2"/>
      <c r="J10" s="2"/>
      <c r="K10" s="2"/>
    </row>
    <row r="11" spans="1:19" x14ac:dyDescent="0.25">
      <c r="A11" s="8">
        <v>41439</v>
      </c>
      <c r="B11" s="4">
        <v>1626.7299800000001</v>
      </c>
      <c r="C11" s="4">
        <v>37.239550000000001</v>
      </c>
      <c r="D11" s="4">
        <v>564.14255700000001</v>
      </c>
      <c r="F11" s="4">
        <v>-5.8850161873152951E-3</v>
      </c>
      <c r="G11" s="4">
        <v>-5.5069250695691796E-3</v>
      </c>
      <c r="H11" s="4">
        <v>-5.5069250695691796E-3</v>
      </c>
      <c r="I11" s="2"/>
      <c r="J11" s="2" t="s">
        <v>4</v>
      </c>
      <c r="K11" s="2">
        <f>pm_st_Beta(D2:D484,B2:B484)</f>
        <v>0.47994786642493936</v>
      </c>
    </row>
    <row r="12" spans="1:19" x14ac:dyDescent="0.25">
      <c r="A12" s="8">
        <v>41442</v>
      </c>
      <c r="B12" s="4">
        <v>1639.040039</v>
      </c>
      <c r="C12" s="4">
        <v>37.539490999999998</v>
      </c>
      <c r="D12" s="4">
        <v>540.95243300000004</v>
      </c>
      <c r="F12" s="4">
        <v>7.5673646833507302E-3</v>
      </c>
      <c r="G12" s="4">
        <v>8.0543669297830078E-3</v>
      </c>
      <c r="H12" s="4">
        <v>8.0543669297830078E-3</v>
      </c>
      <c r="I12" s="2"/>
      <c r="J12" s="2" t="s">
        <v>5</v>
      </c>
      <c r="K12" s="2">
        <f>pm_st_Beta_Adjusted(D2:D484,B2:B484)</f>
        <v>0.65329857761662624</v>
      </c>
    </row>
    <row r="13" spans="1:19" x14ac:dyDescent="0.25">
      <c r="A13" s="8">
        <v>41443</v>
      </c>
      <c r="B13" s="4">
        <v>1651.8100589999999</v>
      </c>
      <c r="C13" s="4">
        <v>37.839432000000002</v>
      </c>
      <c r="D13" s="4">
        <v>530.60239200000001</v>
      </c>
      <c r="F13" s="4">
        <v>7.7911580535829916E-3</v>
      </c>
      <c r="G13" s="4">
        <v>7.9900124378351478E-3</v>
      </c>
      <c r="H13" s="4">
        <v>7.9900124378351478E-3</v>
      </c>
      <c r="I13" s="2"/>
      <c r="J13" s="2" t="s">
        <v>10</v>
      </c>
      <c r="K13" s="2">
        <f>pm_st_SemiDeviation(D2:D484,0.05,"d")</f>
        <v>0.20694742147186507</v>
      </c>
    </row>
    <row r="14" spans="1:19" x14ac:dyDescent="0.25">
      <c r="A14" s="8">
        <v>41444</v>
      </c>
      <c r="B14" s="4">
        <v>1628.9300539999999</v>
      </c>
      <c r="C14" s="4">
        <v>37.295789999999997</v>
      </c>
      <c r="D14" s="4">
        <v>532.52245300000004</v>
      </c>
      <c r="F14" s="4">
        <v>-1.3851474553830623E-2</v>
      </c>
      <c r="G14" s="4">
        <v>-1.4367076123130151E-2</v>
      </c>
      <c r="H14" s="4">
        <v>-1.4367076123130151E-2</v>
      </c>
      <c r="I14" s="2"/>
      <c r="J14" s="2"/>
      <c r="K14" s="2"/>
    </row>
    <row r="15" spans="1:19" x14ac:dyDescent="0.25">
      <c r="A15" s="8">
        <v>41445</v>
      </c>
      <c r="B15" s="4">
        <v>1588.1899410000001</v>
      </c>
      <c r="C15" s="4">
        <v>36.330353000000002</v>
      </c>
      <c r="D15" s="4">
        <v>536.44244400000002</v>
      </c>
      <c r="F15" s="4">
        <v>-2.5010351365277073E-2</v>
      </c>
      <c r="G15" s="4">
        <v>-2.5885951202535007E-2</v>
      </c>
      <c r="H15" s="4">
        <v>-2.5885951202535007E-2</v>
      </c>
      <c r="I15" s="2"/>
      <c r="J15" t="s">
        <v>11</v>
      </c>
    </row>
    <row r="16" spans="1:19" x14ac:dyDescent="0.25">
      <c r="A16" s="8">
        <v>41446</v>
      </c>
      <c r="B16" s="4">
        <v>1592.4300539999999</v>
      </c>
      <c r="C16" s="4">
        <v>36.424086000000003</v>
      </c>
      <c r="D16" s="4">
        <v>556.54249000000004</v>
      </c>
      <c r="F16" s="4">
        <v>2.6697770150401201E-3</v>
      </c>
      <c r="G16" s="4">
        <v>2.5800189720148747E-3</v>
      </c>
      <c r="H16" s="4">
        <v>2.5800189720148747E-3</v>
      </c>
      <c r="J16" s="4">
        <f t="array" ref="J16:K25">pm_st_FreqPct(B2:B484,10)</f>
        <v>-2.5000000000000001E-2</v>
      </c>
      <c r="K16" s="4">
        <v>2.0746887966804979E-3</v>
      </c>
    </row>
    <row r="17" spans="1:11" x14ac:dyDescent="0.25">
      <c r="A17" s="8">
        <v>41449</v>
      </c>
      <c r="B17" s="4">
        <v>1573.089966</v>
      </c>
      <c r="C17" s="4">
        <v>35.974175000000002</v>
      </c>
      <c r="D17" s="4">
        <v>536.10239999999999</v>
      </c>
      <c r="F17" s="4">
        <v>-1.2145015695615546E-2</v>
      </c>
      <c r="G17" s="4">
        <v>-1.2352018936041431E-2</v>
      </c>
      <c r="H17" s="4">
        <v>-1.2352018936041431E-2</v>
      </c>
      <c r="J17" s="4">
        <v>-1.9599999999999999E-2</v>
      </c>
      <c r="K17" s="4">
        <v>1.0373443983402489E-2</v>
      </c>
    </row>
    <row r="18" spans="1:11" x14ac:dyDescent="0.25">
      <c r="A18" s="8">
        <v>41450</v>
      </c>
      <c r="B18" s="4">
        <v>1588.030029</v>
      </c>
      <c r="C18" s="4">
        <v>36.386592999999998</v>
      </c>
      <c r="D18" s="4">
        <v>528.62241400000005</v>
      </c>
      <c r="F18" s="4">
        <v>9.4972718171923987E-3</v>
      </c>
      <c r="G18" s="4">
        <v>1.1464279583895731E-2</v>
      </c>
      <c r="H18" s="4">
        <v>1.1464279583895731E-2</v>
      </c>
      <c r="J18" s="4">
        <v>-1.41E-2</v>
      </c>
      <c r="K18" s="4">
        <v>2.2821576763485476E-2</v>
      </c>
    </row>
    <row r="19" spans="1:11" x14ac:dyDescent="0.25">
      <c r="A19" s="8">
        <v>41451</v>
      </c>
      <c r="B19" s="4">
        <v>1603.26001</v>
      </c>
      <c r="C19" s="4">
        <v>36.724027</v>
      </c>
      <c r="D19" s="4">
        <v>534.81242499999996</v>
      </c>
      <c r="F19" s="4">
        <v>9.5904867803981997E-3</v>
      </c>
      <c r="G19" s="4">
        <v>9.27358051906646E-3</v>
      </c>
      <c r="H19" s="4">
        <v>9.27358051906646E-3</v>
      </c>
      <c r="I19" s="2"/>
      <c r="J19" s="4">
        <v>-8.6999999999999994E-3</v>
      </c>
      <c r="K19" s="4">
        <v>6.4315352697095429E-2</v>
      </c>
    </row>
    <row r="20" spans="1:11" x14ac:dyDescent="0.25">
      <c r="A20" s="8">
        <v>41452</v>
      </c>
      <c r="B20" s="4">
        <v>1613.1999510000001</v>
      </c>
      <c r="C20" s="4">
        <v>37.052086000000003</v>
      </c>
      <c r="D20" s="4">
        <v>526.94239100000004</v>
      </c>
      <c r="F20" s="4">
        <v>6.1998309307298438E-3</v>
      </c>
      <c r="G20" s="4">
        <v>8.9330889556311632E-3</v>
      </c>
      <c r="H20" s="4">
        <v>8.9330889556311632E-3</v>
      </c>
      <c r="I20" s="2"/>
      <c r="J20" s="4">
        <v>-3.2000000000000002E-3</v>
      </c>
      <c r="K20" s="4">
        <v>0.16182572614107885</v>
      </c>
    </row>
    <row r="21" spans="1:11" x14ac:dyDescent="0.25">
      <c r="A21" s="8">
        <v>41453</v>
      </c>
      <c r="B21" s="4">
        <v>1606.280029</v>
      </c>
      <c r="C21" s="4">
        <v>36.939608999999997</v>
      </c>
      <c r="D21" s="4">
        <v>525.16236300000003</v>
      </c>
      <c r="F21" s="4">
        <v>-4.289562490818577E-3</v>
      </c>
      <c r="G21" s="4">
        <v>-3.0356455504287894E-3</v>
      </c>
      <c r="H21" s="4">
        <v>-3.0356455504287894E-3</v>
      </c>
      <c r="I21" s="2"/>
      <c r="J21" s="4">
        <v>2.2000000000000001E-3</v>
      </c>
      <c r="K21" s="4">
        <v>0.32572614107883818</v>
      </c>
    </row>
    <row r="22" spans="1:11" x14ac:dyDescent="0.25">
      <c r="A22" s="8">
        <v>41456</v>
      </c>
      <c r="B22" s="4">
        <v>1614.959961</v>
      </c>
      <c r="C22" s="4">
        <v>37.173938</v>
      </c>
      <c r="D22" s="4">
        <v>516.18235200000004</v>
      </c>
      <c r="F22" s="4">
        <v>5.4037476923645134E-3</v>
      </c>
      <c r="G22" s="4">
        <v>6.3435701227916308E-3</v>
      </c>
      <c r="H22" s="4">
        <v>6.3435701227916308E-3</v>
      </c>
      <c r="I22" s="2"/>
      <c r="J22" s="4">
        <v>7.7000000000000002E-3</v>
      </c>
      <c r="K22" s="4">
        <v>0.27385892116182575</v>
      </c>
    </row>
    <row r="23" spans="1:11" x14ac:dyDescent="0.25">
      <c r="A23" s="8">
        <v>41457</v>
      </c>
      <c r="B23" s="4">
        <v>1614.079956</v>
      </c>
      <c r="C23" s="4">
        <v>37.117697999999997</v>
      </c>
      <c r="D23" s="4">
        <v>517.15235900000005</v>
      </c>
      <c r="F23" s="4">
        <v>-5.4490824618036449E-4</v>
      </c>
      <c r="G23" s="4">
        <v>-1.5128878732192375E-3</v>
      </c>
      <c r="H23" s="4">
        <v>-1.5128878732192375E-3</v>
      </c>
      <c r="I23" s="2"/>
      <c r="J23" s="4">
        <v>1.3100000000000001E-2</v>
      </c>
      <c r="K23" s="4">
        <v>0.1037344398340249</v>
      </c>
    </row>
    <row r="24" spans="1:11" x14ac:dyDescent="0.25">
      <c r="A24" s="8">
        <v>41458</v>
      </c>
      <c r="B24" s="4">
        <v>1615.410034</v>
      </c>
      <c r="C24" s="4">
        <v>37.089579999999998</v>
      </c>
      <c r="D24" s="4">
        <v>527.70240999999999</v>
      </c>
      <c r="F24" s="4">
        <v>8.2404715767370185E-4</v>
      </c>
      <c r="G24" s="4">
        <v>-7.5753620281082679E-4</v>
      </c>
      <c r="H24" s="4">
        <v>-7.5753620281082679E-4</v>
      </c>
      <c r="I24" s="2"/>
      <c r="J24" s="4">
        <v>1.8599999999999998E-2</v>
      </c>
      <c r="K24" s="4">
        <v>2.6970954356846474E-2</v>
      </c>
    </row>
    <row r="25" spans="1:11" x14ac:dyDescent="0.25">
      <c r="A25" s="8">
        <v>41460</v>
      </c>
      <c r="B25" s="4">
        <v>1631.8900149999999</v>
      </c>
      <c r="C25" s="4">
        <v>37.492626000000001</v>
      </c>
      <c r="D25" s="4">
        <v>526.66238799999996</v>
      </c>
      <c r="F25" s="4">
        <v>1.0201732472338909E-2</v>
      </c>
      <c r="G25" s="4">
        <v>1.0866825669096469E-2</v>
      </c>
      <c r="H25" s="4">
        <v>1.0866825669096469E-2</v>
      </c>
      <c r="I25" s="2"/>
      <c r="J25" s="4">
        <v>2.4E-2</v>
      </c>
      <c r="K25" s="4">
        <v>8.2987551867219917E-3</v>
      </c>
    </row>
    <row r="26" spans="1:11" x14ac:dyDescent="0.25">
      <c r="A26" s="8">
        <v>41463</v>
      </c>
      <c r="B26" s="4">
        <v>1640.459961</v>
      </c>
      <c r="C26" s="4">
        <v>37.68009</v>
      </c>
      <c r="D26" s="4">
        <v>531.35237400000005</v>
      </c>
      <c r="F26" s="4">
        <v>5.2515463182118971E-3</v>
      </c>
      <c r="G26" s="4">
        <v>5.0000232045628312E-3</v>
      </c>
      <c r="H26" s="4">
        <v>5.0000232045628312E-3</v>
      </c>
      <c r="I26" s="2"/>
    </row>
    <row r="27" spans="1:11" x14ac:dyDescent="0.25">
      <c r="A27" s="8">
        <v>41464</v>
      </c>
      <c r="B27" s="4">
        <v>1652.3199460000001</v>
      </c>
      <c r="C27" s="4">
        <v>37.970655000000001</v>
      </c>
      <c r="D27" s="4">
        <v>527.932411</v>
      </c>
      <c r="F27" s="4">
        <v>7.2296705082459667E-3</v>
      </c>
      <c r="G27" s="4">
        <v>7.7113669314483602E-3</v>
      </c>
      <c r="H27" s="4">
        <v>7.7113669314483602E-3</v>
      </c>
      <c r="I27" s="2"/>
    </row>
    <row r="28" spans="1:11" x14ac:dyDescent="0.25">
      <c r="A28" s="8">
        <v>41465</v>
      </c>
      <c r="B28" s="4">
        <v>1652.619995</v>
      </c>
      <c r="C28" s="4">
        <v>38.026895000000003</v>
      </c>
      <c r="D28" s="4">
        <v>527.81239200000005</v>
      </c>
      <c r="F28" s="4">
        <v>1.8159255459360146E-4</v>
      </c>
      <c r="G28" s="4">
        <v>1.481143793806039E-3</v>
      </c>
      <c r="H28" s="4">
        <v>1.481143793806039E-3</v>
      </c>
      <c r="I28" s="2"/>
    </row>
    <row r="29" spans="1:11" x14ac:dyDescent="0.25">
      <c r="A29" s="8">
        <v>41466</v>
      </c>
      <c r="B29" s="4">
        <v>1675.0200199999999</v>
      </c>
      <c r="C29" s="4">
        <v>38.570540000000001</v>
      </c>
      <c r="D29" s="4">
        <v>515.14233000000002</v>
      </c>
      <c r="F29" s="4">
        <v>1.3554250261869738E-2</v>
      </c>
      <c r="G29" s="4">
        <v>1.429632895349453E-2</v>
      </c>
      <c r="H29" s="4">
        <v>1.429632895349453E-2</v>
      </c>
    </row>
    <row r="30" spans="1:11" x14ac:dyDescent="0.25">
      <c r="A30" s="8">
        <v>41467</v>
      </c>
      <c r="B30" s="4">
        <v>1680.1899410000001</v>
      </c>
      <c r="C30" s="4">
        <v>38.701763999999997</v>
      </c>
      <c r="D30" s="4">
        <v>509.96229099999999</v>
      </c>
      <c r="F30" s="4">
        <v>3.0864831096168999E-3</v>
      </c>
      <c r="G30" s="4">
        <v>3.402182079898175E-3</v>
      </c>
      <c r="H30" s="4">
        <v>3.402182079898175E-3</v>
      </c>
    </row>
    <row r="31" spans="1:11" x14ac:dyDescent="0.25">
      <c r="A31" s="8">
        <v>41470</v>
      </c>
      <c r="B31" s="4">
        <v>1682.5</v>
      </c>
      <c r="C31" s="4">
        <v>38.767375999999999</v>
      </c>
      <c r="D31" s="4">
        <v>511.00231300000002</v>
      </c>
      <c r="F31" s="4">
        <v>1.3748796749877279E-3</v>
      </c>
      <c r="G31" s="4">
        <v>1.6953232415970465E-3</v>
      </c>
      <c r="H31" s="4">
        <v>1.6953232415970465E-3</v>
      </c>
    </row>
    <row r="32" spans="1:11" x14ac:dyDescent="0.25">
      <c r="A32" s="8">
        <v>41471</v>
      </c>
      <c r="B32" s="4">
        <v>1676.26001</v>
      </c>
      <c r="C32" s="4">
        <v>38.570540000000001</v>
      </c>
      <c r="D32" s="4">
        <v>518.73231399999997</v>
      </c>
      <c r="F32" s="4">
        <v>-3.7087607726598026E-3</v>
      </c>
      <c r="G32" s="4">
        <v>-5.077361955062365E-3</v>
      </c>
      <c r="H32" s="4">
        <v>-5.077361955062365E-3</v>
      </c>
    </row>
    <row r="33" spans="1:8" x14ac:dyDescent="0.25">
      <c r="A33" s="8">
        <v>41472</v>
      </c>
      <c r="B33" s="4">
        <v>1680.910034</v>
      </c>
      <c r="C33" s="4">
        <v>38.683017</v>
      </c>
      <c r="D33" s="4">
        <v>529.92236600000001</v>
      </c>
      <c r="F33" s="4">
        <v>2.7740469690020753E-3</v>
      </c>
      <c r="G33" s="4">
        <v>2.9161375495390107E-3</v>
      </c>
      <c r="H33" s="4">
        <v>2.9161375495390107E-3</v>
      </c>
    </row>
    <row r="34" spans="1:8" x14ac:dyDescent="0.25">
      <c r="A34" s="8">
        <v>41473</v>
      </c>
      <c r="B34" s="4">
        <v>1689.369995</v>
      </c>
      <c r="C34" s="4">
        <v>38.964210999999999</v>
      </c>
      <c r="D34" s="4">
        <v>533.09243700000002</v>
      </c>
      <c r="F34" s="4">
        <v>5.0329647803148969E-3</v>
      </c>
      <c r="G34" s="4">
        <v>7.2691848208219501E-3</v>
      </c>
      <c r="H34" s="4">
        <v>7.2691848208219501E-3</v>
      </c>
    </row>
    <row r="35" spans="1:8" x14ac:dyDescent="0.25">
      <c r="A35" s="8">
        <v>41474</v>
      </c>
      <c r="B35" s="4">
        <v>1692.089966</v>
      </c>
      <c r="C35" s="4">
        <v>39.048569999999998</v>
      </c>
      <c r="D35" s="4">
        <v>526.65241200000003</v>
      </c>
      <c r="F35" s="4">
        <v>1.6100504969605023E-3</v>
      </c>
      <c r="G35" s="4">
        <v>2.1650380653157608E-3</v>
      </c>
      <c r="H35" s="4">
        <v>2.1650380653157608E-3</v>
      </c>
    </row>
    <row r="36" spans="1:8" x14ac:dyDescent="0.25">
      <c r="A36" s="8">
        <v>41477</v>
      </c>
      <c r="B36" s="4">
        <v>1695.530029</v>
      </c>
      <c r="C36" s="4">
        <v>39.104810000000001</v>
      </c>
      <c r="D36" s="4">
        <v>519.98232399999995</v>
      </c>
      <c r="F36" s="4">
        <v>2.033026061925236E-3</v>
      </c>
      <c r="G36" s="4">
        <v>1.440257607384865E-3</v>
      </c>
      <c r="H36" s="4">
        <v>1.440257607384865E-3</v>
      </c>
    </row>
    <row r="37" spans="1:8" x14ac:dyDescent="0.25">
      <c r="A37" s="8">
        <v>41478</v>
      </c>
      <c r="B37" s="4">
        <v>1692.3900149999999</v>
      </c>
      <c r="C37" s="4">
        <v>39.020451000000001</v>
      </c>
      <c r="D37" s="4">
        <v>520.63236199999994</v>
      </c>
      <c r="F37" s="4">
        <v>-1.8519365309336289E-3</v>
      </c>
      <c r="G37" s="4">
        <v>-2.1572538007472719E-3</v>
      </c>
      <c r="H37" s="4">
        <v>-2.1572538007472719E-3</v>
      </c>
    </row>
    <row r="38" spans="1:8" x14ac:dyDescent="0.25">
      <c r="A38" s="8">
        <v>41479</v>
      </c>
      <c r="B38" s="4">
        <v>1685.9399410000001</v>
      </c>
      <c r="C38" s="4">
        <v>38.758000000000003</v>
      </c>
      <c r="D38" s="4">
        <v>528.862391</v>
      </c>
      <c r="F38" s="4">
        <v>-3.8112219658775759E-3</v>
      </c>
      <c r="G38" s="4">
        <v>-6.7259858170269915E-3</v>
      </c>
      <c r="H38" s="4">
        <v>-6.7259858170269915E-3</v>
      </c>
    </row>
    <row r="39" spans="1:8" x14ac:dyDescent="0.25">
      <c r="A39" s="8">
        <v>41480</v>
      </c>
      <c r="B39" s="4">
        <v>1690.25</v>
      </c>
      <c r="C39" s="4">
        <v>38.945464000000001</v>
      </c>
      <c r="D39" s="4">
        <v>529.77241800000002</v>
      </c>
      <c r="F39" s="4">
        <v>2.5564724431663688E-3</v>
      </c>
      <c r="G39" s="4">
        <v>4.8367820836987541E-3</v>
      </c>
      <c r="H39" s="4">
        <v>4.8367820836987541E-3</v>
      </c>
    </row>
    <row r="40" spans="1:8" x14ac:dyDescent="0.25">
      <c r="A40" s="8">
        <v>41481</v>
      </c>
      <c r="B40" s="4">
        <v>1691.650024</v>
      </c>
      <c r="C40" s="4">
        <v>38.945464000000001</v>
      </c>
      <c r="D40" s="4">
        <v>538.94246499999997</v>
      </c>
      <c r="F40" s="4">
        <v>8.2829403934336909E-4</v>
      </c>
      <c r="G40" s="4">
        <v>0</v>
      </c>
      <c r="H40" s="4">
        <v>0</v>
      </c>
    </row>
    <row r="41" spans="1:8" x14ac:dyDescent="0.25">
      <c r="A41" s="8">
        <v>41484</v>
      </c>
      <c r="B41" s="4">
        <v>1685.329956</v>
      </c>
      <c r="C41" s="4">
        <v>38.786121999999999</v>
      </c>
      <c r="D41" s="4">
        <v>545.06245899999999</v>
      </c>
      <c r="F41" s="4">
        <v>-3.7360375434251081E-3</v>
      </c>
      <c r="G41" s="4">
        <v>-4.091413572579361E-3</v>
      </c>
      <c r="H41" s="4">
        <v>-4.091413572579361E-3</v>
      </c>
    </row>
    <row r="42" spans="1:8" x14ac:dyDescent="0.25">
      <c r="A42" s="8">
        <v>41485</v>
      </c>
      <c r="B42" s="4">
        <v>1685.959961</v>
      </c>
      <c r="C42" s="4">
        <v>38.879852</v>
      </c>
      <c r="D42" s="4">
        <v>552.70249200000001</v>
      </c>
      <c r="F42" s="4">
        <v>3.7381700702421305E-4</v>
      </c>
      <c r="G42" s="4">
        <v>2.4165860149669705E-3</v>
      </c>
      <c r="H42" s="4">
        <v>2.4165860149669705E-3</v>
      </c>
    </row>
    <row r="43" spans="1:8" x14ac:dyDescent="0.25">
      <c r="A43" s="8">
        <v>41486</v>
      </c>
      <c r="B43" s="4">
        <v>1685.7299800000001</v>
      </c>
      <c r="C43" s="4">
        <v>38.936093</v>
      </c>
      <c r="D43" s="4">
        <v>565.95257500000002</v>
      </c>
      <c r="F43" s="4">
        <v>-1.3640952651305938E-4</v>
      </c>
      <c r="G43" s="4">
        <v>1.4465332841286926E-3</v>
      </c>
      <c r="H43" s="4">
        <v>1.4465332841286926E-3</v>
      </c>
    </row>
    <row r="44" spans="1:8" x14ac:dyDescent="0.25">
      <c r="A44" s="8">
        <v>41487</v>
      </c>
      <c r="B44" s="4">
        <v>1706.869995</v>
      </c>
      <c r="C44" s="4">
        <v>39.545346000000002</v>
      </c>
      <c r="D44" s="4">
        <v>561.682502</v>
      </c>
      <c r="F44" s="4">
        <v>1.2540570109573546E-2</v>
      </c>
      <c r="G44" s="4">
        <v>1.5647512450722934E-2</v>
      </c>
      <c r="H44" s="4">
        <v>1.5647512450722934E-2</v>
      </c>
    </row>
    <row r="45" spans="1:8" x14ac:dyDescent="0.25">
      <c r="A45" s="8">
        <v>41488</v>
      </c>
      <c r="B45" s="4">
        <v>1709.670044</v>
      </c>
      <c r="C45" s="4">
        <v>39.592213999999998</v>
      </c>
      <c r="D45" s="4">
        <v>560.08253400000001</v>
      </c>
      <c r="F45" s="4">
        <v>1.6404582705198401E-3</v>
      </c>
      <c r="G45" s="4">
        <v>1.1851710691821449E-3</v>
      </c>
      <c r="H45" s="4">
        <v>1.1851710691821449E-3</v>
      </c>
    </row>
    <row r="46" spans="1:8" x14ac:dyDescent="0.25">
      <c r="A46" s="8">
        <v>41491</v>
      </c>
      <c r="B46" s="4">
        <v>1707.1400149999999</v>
      </c>
      <c r="C46" s="4">
        <v>39.545346000000002</v>
      </c>
      <c r="D46" s="4">
        <v>559.89255900000001</v>
      </c>
      <c r="F46" s="4">
        <v>-1.479834666858082E-3</v>
      </c>
      <c r="G46" s="4">
        <v>-1.1837681014755796E-3</v>
      </c>
      <c r="H46" s="4">
        <v>-1.1837681014755796E-3</v>
      </c>
    </row>
    <row r="47" spans="1:8" x14ac:dyDescent="0.25">
      <c r="A47" s="8">
        <v>41492</v>
      </c>
      <c r="B47" s="4">
        <v>1697.369995</v>
      </c>
      <c r="C47" s="4">
        <v>39.301645000000001</v>
      </c>
      <c r="D47" s="4">
        <v>553.93248800000003</v>
      </c>
      <c r="F47" s="4">
        <v>-5.7230337957955291E-3</v>
      </c>
      <c r="G47" s="4">
        <v>-6.1625709381832872E-3</v>
      </c>
      <c r="H47" s="4">
        <v>-6.1625709381832872E-3</v>
      </c>
    </row>
    <row r="48" spans="1:8" x14ac:dyDescent="0.25">
      <c r="A48" s="8">
        <v>41493</v>
      </c>
      <c r="B48" s="4">
        <v>1690.910034</v>
      </c>
      <c r="C48" s="4">
        <v>39.095435000000002</v>
      </c>
      <c r="D48" s="4">
        <v>544.94250099999999</v>
      </c>
      <c r="F48" s="4">
        <v>-3.8058649669956424E-3</v>
      </c>
      <c r="G48" s="4">
        <v>-5.2468541711166994E-3</v>
      </c>
      <c r="H48" s="4">
        <v>-5.2468541711166994E-3</v>
      </c>
    </row>
    <row r="49" spans="1:8" x14ac:dyDescent="0.25">
      <c r="A49" s="8">
        <v>41494</v>
      </c>
      <c r="B49" s="4">
        <v>1697.4799800000001</v>
      </c>
      <c r="C49" s="4">
        <v>39.348509999999997</v>
      </c>
      <c r="D49" s="4">
        <v>544.66243599999996</v>
      </c>
      <c r="F49" s="4">
        <v>3.8854497684055467E-3</v>
      </c>
      <c r="G49" s="4">
        <v>6.4732621596357287E-3</v>
      </c>
      <c r="H49" s="4">
        <v>6.4732621596357287E-3</v>
      </c>
    </row>
    <row r="50" spans="1:8" x14ac:dyDescent="0.25">
      <c r="A50" s="8">
        <v>41495</v>
      </c>
      <c r="B50" s="4">
        <v>1691.420044</v>
      </c>
      <c r="C50" s="4">
        <v>39.311017</v>
      </c>
      <c r="D50" s="4">
        <v>553.90255999999999</v>
      </c>
      <c r="F50" s="4">
        <v>-3.5699602183232315E-3</v>
      </c>
      <c r="G50" s="4">
        <v>-9.5284421189001378E-4</v>
      </c>
      <c r="H50" s="4">
        <v>-9.5284421189001378E-4</v>
      </c>
    </row>
    <row r="51" spans="1:8" x14ac:dyDescent="0.25">
      <c r="A51" s="8">
        <v>41498</v>
      </c>
      <c r="B51" s="4">
        <v>1689.469971</v>
      </c>
      <c r="C51" s="4">
        <v>39.254779999999997</v>
      </c>
      <c r="D51" s="4">
        <v>556.33256400000005</v>
      </c>
      <c r="F51" s="4">
        <v>-1.1529205929168285E-3</v>
      </c>
      <c r="G51" s="4">
        <v>-1.4305658894554485E-3</v>
      </c>
      <c r="H51" s="4">
        <v>-1.4305658894554485E-3</v>
      </c>
    </row>
    <row r="52" spans="1:8" x14ac:dyDescent="0.25">
      <c r="A52" s="8">
        <v>41499</v>
      </c>
      <c r="B52" s="4">
        <v>1694.160034</v>
      </c>
      <c r="C52" s="4">
        <v>39.320391999999998</v>
      </c>
      <c r="D52" s="4">
        <v>562.12255200000004</v>
      </c>
      <c r="F52" s="4">
        <v>2.7760558521343626E-3</v>
      </c>
      <c r="G52" s="4">
        <v>1.6714397584192131E-3</v>
      </c>
      <c r="H52" s="4">
        <v>1.6714397584192131E-3</v>
      </c>
    </row>
    <row r="53" spans="1:8" x14ac:dyDescent="0.25">
      <c r="A53" s="8">
        <v>41500</v>
      </c>
      <c r="B53" s="4">
        <v>1685.3900149999999</v>
      </c>
      <c r="C53" s="4">
        <v>39.114181000000002</v>
      </c>
      <c r="D53" s="4">
        <v>560.55251099999998</v>
      </c>
      <c r="F53" s="4">
        <v>-5.1766178070519198E-3</v>
      </c>
      <c r="G53" s="4">
        <v>-5.2443780316329125E-3</v>
      </c>
      <c r="H53" s="4">
        <v>-5.2443780316329125E-3</v>
      </c>
    </row>
    <row r="54" spans="1:8" x14ac:dyDescent="0.25">
      <c r="A54" s="8">
        <v>41501</v>
      </c>
      <c r="B54" s="4">
        <v>1661.3199460000001</v>
      </c>
      <c r="C54" s="4">
        <v>38.533047000000003</v>
      </c>
      <c r="D54" s="4">
        <v>558.84256100000005</v>
      </c>
      <c r="F54" s="4">
        <v>-1.4281601757323736E-2</v>
      </c>
      <c r="G54" s="4">
        <v>-1.4857373595525303E-2</v>
      </c>
      <c r="H54" s="4">
        <v>-1.4857373595525303E-2</v>
      </c>
    </row>
    <row r="55" spans="1:8" x14ac:dyDescent="0.25">
      <c r="A55" s="8">
        <v>41502</v>
      </c>
      <c r="B55" s="4">
        <v>1655.829956</v>
      </c>
      <c r="C55" s="4">
        <v>38.392448000000002</v>
      </c>
      <c r="D55" s="4">
        <v>551.35247600000002</v>
      </c>
      <c r="F55" s="4">
        <v>-3.304595248626474E-3</v>
      </c>
      <c r="G55" s="4">
        <v>-3.6487900891928327E-3</v>
      </c>
      <c r="H55" s="4">
        <v>-3.6487900891928327E-3</v>
      </c>
    </row>
    <row r="56" spans="1:8" x14ac:dyDescent="0.25">
      <c r="A56" s="8">
        <v>41505</v>
      </c>
      <c r="B56" s="4">
        <v>1646.0600589999999</v>
      </c>
      <c r="C56" s="4">
        <v>38.092506999999998</v>
      </c>
      <c r="D56" s="4">
        <v>551.76253599999995</v>
      </c>
      <c r="F56" s="4">
        <v>-5.9003021201532446E-3</v>
      </c>
      <c r="G56" s="4">
        <v>-7.812500000000111E-3</v>
      </c>
      <c r="H56" s="4">
        <v>-7.812500000000111E-3</v>
      </c>
    </row>
    <row r="57" spans="1:8" x14ac:dyDescent="0.25">
      <c r="A57" s="8">
        <v>41506</v>
      </c>
      <c r="B57" s="4">
        <v>1652.349976</v>
      </c>
      <c r="C57" s="4">
        <v>38.401823</v>
      </c>
      <c r="D57" s="4">
        <v>544.28248799999994</v>
      </c>
      <c r="F57" s="4">
        <v>3.8211953237121676E-3</v>
      </c>
      <c r="G57" s="4">
        <v>8.1201271420650034E-3</v>
      </c>
      <c r="H57" s="4">
        <v>8.1201271420650034E-3</v>
      </c>
    </row>
    <row r="58" spans="1:8" x14ac:dyDescent="0.25">
      <c r="A58" s="8">
        <v>41507</v>
      </c>
      <c r="B58" s="4">
        <v>1642.8000489999999</v>
      </c>
      <c r="C58" s="4">
        <v>38.130001</v>
      </c>
      <c r="D58" s="4">
        <v>543.01246500000002</v>
      </c>
      <c r="F58" s="4">
        <v>-5.7796030736287918E-3</v>
      </c>
      <c r="G58" s="4">
        <v>-7.0783618788097247E-3</v>
      </c>
      <c r="H58" s="4">
        <v>-7.0783618788097247E-3</v>
      </c>
    </row>
    <row r="59" spans="1:8" x14ac:dyDescent="0.25">
      <c r="A59" s="8">
        <v>41508</v>
      </c>
      <c r="B59" s="4">
        <v>1656.959961</v>
      </c>
      <c r="C59" s="4">
        <v>38.542417999999998</v>
      </c>
      <c r="D59" s="4">
        <v>553.37248099999999</v>
      </c>
      <c r="F59" s="4">
        <v>8.6193764168800424E-3</v>
      </c>
      <c r="G59" s="4">
        <v>1.0816076296457533E-2</v>
      </c>
      <c r="H59" s="4">
        <v>1.0816076296457533E-2</v>
      </c>
    </row>
    <row r="60" spans="1:8" x14ac:dyDescent="0.25">
      <c r="A60" s="8">
        <v>41509</v>
      </c>
      <c r="B60" s="4">
        <v>1663.5</v>
      </c>
      <c r="C60" s="4">
        <v>38.664270000000002</v>
      </c>
      <c r="D60" s="4">
        <v>554.902556</v>
      </c>
      <c r="F60" s="4">
        <v>3.9470108837469375E-3</v>
      </c>
      <c r="G60" s="4">
        <v>3.1615037748800034E-3</v>
      </c>
      <c r="H60" s="4">
        <v>3.1615037748800034E-3</v>
      </c>
    </row>
    <row r="61" spans="1:8" x14ac:dyDescent="0.25">
      <c r="A61" s="8">
        <v>41512</v>
      </c>
      <c r="B61" s="4">
        <v>1656.780029</v>
      </c>
      <c r="C61" s="4">
        <v>38.523671</v>
      </c>
      <c r="D61" s="4">
        <v>556.36249199999997</v>
      </c>
      <c r="F61" s="4">
        <v>-4.039657950105191E-3</v>
      </c>
      <c r="G61" s="4">
        <v>-3.6364064289847731E-3</v>
      </c>
      <c r="H61" s="4">
        <v>-3.6364064289847731E-3</v>
      </c>
    </row>
    <row r="62" spans="1:8" x14ac:dyDescent="0.25">
      <c r="A62" s="8">
        <v>41513</v>
      </c>
      <c r="B62" s="4">
        <v>1630.4799800000001</v>
      </c>
      <c r="C62" s="4">
        <v>37.839432000000002</v>
      </c>
      <c r="D62" s="4">
        <v>564.95257900000001</v>
      </c>
      <c r="F62" s="4">
        <v>-1.5874194847625089E-2</v>
      </c>
      <c r="G62" s="4">
        <v>-1.7761521221588583E-2</v>
      </c>
      <c r="H62" s="4">
        <v>-1.7761521221588583E-2</v>
      </c>
    </row>
    <row r="63" spans="1:8" x14ac:dyDescent="0.25">
      <c r="A63" s="8">
        <v>41514</v>
      </c>
      <c r="B63" s="4">
        <v>1634.959961</v>
      </c>
      <c r="C63" s="4">
        <v>37.914417999999998</v>
      </c>
      <c r="D63" s="4">
        <v>564.62257199999999</v>
      </c>
      <c r="F63" s="4">
        <v>2.7476455123356391E-3</v>
      </c>
      <c r="G63" s="4">
        <v>1.9816893657387258E-3</v>
      </c>
      <c r="H63" s="4">
        <v>1.9816893657387258E-3</v>
      </c>
    </row>
    <row r="64" spans="1:8" x14ac:dyDescent="0.25">
      <c r="A64" s="8">
        <v>41515</v>
      </c>
      <c r="B64" s="4">
        <v>1638.170044</v>
      </c>
      <c r="C64" s="4">
        <v>38.026895000000003</v>
      </c>
      <c r="D64" s="4">
        <v>578.65262700000005</v>
      </c>
      <c r="F64" s="4">
        <v>1.9634015979428376E-3</v>
      </c>
      <c r="G64" s="4">
        <v>2.9666023094434557E-3</v>
      </c>
      <c r="H64" s="4">
        <v>2.9666023094434557E-3</v>
      </c>
    </row>
    <row r="65" spans="1:8" x14ac:dyDescent="0.25">
      <c r="A65" s="8">
        <v>41516</v>
      </c>
      <c r="B65" s="4">
        <v>1632.969971</v>
      </c>
      <c r="C65" s="4">
        <v>37.858178000000002</v>
      </c>
      <c r="D65" s="4">
        <v>576.00259800000003</v>
      </c>
      <c r="F65" s="4">
        <v>-3.1743182089343236E-3</v>
      </c>
      <c r="G65" s="4">
        <v>-4.4367808625973559E-3</v>
      </c>
      <c r="H65" s="4">
        <v>-4.4367808625973559E-3</v>
      </c>
    </row>
    <row r="66" spans="1:8" x14ac:dyDescent="0.25">
      <c r="A66" s="8">
        <v>41520</v>
      </c>
      <c r="B66" s="4">
        <v>1639.7700199999999</v>
      </c>
      <c r="C66" s="4">
        <v>38.045642000000001</v>
      </c>
      <c r="D66" s="4">
        <v>577.24263199999996</v>
      </c>
      <c r="F66" s="4">
        <v>4.1642217069282061E-3</v>
      </c>
      <c r="G66" s="4">
        <v>4.9517438477888476E-3</v>
      </c>
      <c r="H66" s="4">
        <v>4.9517438477888476E-3</v>
      </c>
    </row>
    <row r="67" spans="1:8" x14ac:dyDescent="0.25">
      <c r="A67" s="8">
        <v>41521</v>
      </c>
      <c r="B67" s="4">
        <v>1653.079956</v>
      </c>
      <c r="C67" s="4">
        <v>38.411194999999999</v>
      </c>
      <c r="D67" s="4">
        <v>575.28260599999999</v>
      </c>
      <c r="F67" s="4">
        <v>8.1169528883080488E-3</v>
      </c>
      <c r="G67" s="4">
        <v>9.6082752395136861E-3</v>
      </c>
      <c r="H67" s="4">
        <v>9.6082752395136861E-3</v>
      </c>
    </row>
    <row r="68" spans="1:8" x14ac:dyDescent="0.25">
      <c r="A68" s="8">
        <v>41522</v>
      </c>
      <c r="B68" s="4">
        <v>1655.079956</v>
      </c>
      <c r="C68" s="4">
        <v>38.504928</v>
      </c>
      <c r="D68" s="4">
        <v>582.67262400000004</v>
      </c>
      <c r="F68" s="4">
        <v>1.2098628337611217E-3</v>
      </c>
      <c r="G68" s="4">
        <v>2.4402521192063986E-3</v>
      </c>
      <c r="H68" s="4">
        <v>2.4402521192063986E-3</v>
      </c>
    </row>
    <row r="69" spans="1:8" x14ac:dyDescent="0.25">
      <c r="A69" s="8">
        <v>41523</v>
      </c>
      <c r="B69" s="4">
        <v>1655.170044</v>
      </c>
      <c r="C69" s="4">
        <v>38.533047000000003</v>
      </c>
      <c r="D69" s="4">
        <v>582.33766000000003</v>
      </c>
      <c r="F69" s="4">
        <v>5.4431207189287178E-5</v>
      </c>
      <c r="G69" s="4">
        <v>7.3027016178306425E-4</v>
      </c>
      <c r="H69" s="4">
        <v>7.3027016178306425E-4</v>
      </c>
    </row>
    <row r="70" spans="1:8" x14ac:dyDescent="0.25">
      <c r="A70" s="8">
        <v>41526</v>
      </c>
      <c r="B70" s="4">
        <v>1671.709961</v>
      </c>
      <c r="C70" s="4">
        <v>38.992328999999998</v>
      </c>
      <c r="D70" s="4">
        <v>584.73265600000002</v>
      </c>
      <c r="F70" s="4">
        <v>9.9928808281404269E-3</v>
      </c>
      <c r="G70" s="4">
        <v>1.1919171613913537E-2</v>
      </c>
      <c r="H70" s="4">
        <v>1.1919171613913537E-2</v>
      </c>
    </row>
    <row r="71" spans="1:8" x14ac:dyDescent="0.25">
      <c r="A71" s="8">
        <v>41527</v>
      </c>
      <c r="B71" s="4">
        <v>1683.98999</v>
      </c>
      <c r="C71" s="4">
        <v>39.301645000000001</v>
      </c>
      <c r="D71" s="4">
        <v>582.25264900000002</v>
      </c>
      <c r="F71" s="4">
        <v>7.3457892137307468E-3</v>
      </c>
      <c r="G71" s="4">
        <v>7.932739796076449E-3</v>
      </c>
      <c r="H71" s="4">
        <v>7.932739796076449E-3</v>
      </c>
    </row>
    <row r="72" spans="1:8" x14ac:dyDescent="0.25">
      <c r="A72" s="8">
        <v>41528</v>
      </c>
      <c r="B72" s="4">
        <v>1689.130005</v>
      </c>
      <c r="C72" s="4">
        <v>39.451616000000001</v>
      </c>
      <c r="D72" s="4">
        <v>571.09258699999998</v>
      </c>
      <c r="F72" s="4">
        <v>3.0522835827544448E-3</v>
      </c>
      <c r="G72" s="4">
        <v>3.8158962557419684E-3</v>
      </c>
      <c r="H72" s="4">
        <v>3.8158962557419684E-3</v>
      </c>
    </row>
    <row r="73" spans="1:8" x14ac:dyDescent="0.25">
      <c r="A73" s="8">
        <v>41529</v>
      </c>
      <c r="B73" s="4">
        <v>1683.420044</v>
      </c>
      <c r="C73" s="4">
        <v>39.273527000000001</v>
      </c>
      <c r="D73" s="4">
        <v>576.08265200000005</v>
      </c>
      <c r="F73" s="4">
        <v>-3.3804153517479341E-3</v>
      </c>
      <c r="G73" s="4">
        <v>-4.5141116652863689E-3</v>
      </c>
      <c r="H73" s="4">
        <v>-4.5141116652863689E-3</v>
      </c>
    </row>
    <row r="74" spans="1:8" x14ac:dyDescent="0.25">
      <c r="A74" s="8">
        <v>41530</v>
      </c>
      <c r="B74" s="4">
        <v>1687.98999</v>
      </c>
      <c r="C74" s="4">
        <v>39.386004</v>
      </c>
      <c r="D74" s="4">
        <v>571.10256300000003</v>
      </c>
      <c r="F74" s="4">
        <v>2.7146795693018255E-3</v>
      </c>
      <c r="G74" s="4">
        <v>2.8639393655680578E-3</v>
      </c>
      <c r="H74" s="4">
        <v>2.8639393655680578E-3</v>
      </c>
    </row>
    <row r="75" spans="1:8" x14ac:dyDescent="0.25">
      <c r="A75" s="8">
        <v>41533</v>
      </c>
      <c r="B75" s="4">
        <v>1697.599976</v>
      </c>
      <c r="C75" s="4">
        <v>39.657826</v>
      </c>
      <c r="D75" s="4">
        <v>579.18264499999998</v>
      </c>
      <c r="F75" s="4">
        <v>5.6931534291859709E-3</v>
      </c>
      <c r="G75" s="4">
        <v>6.9014871374104558E-3</v>
      </c>
      <c r="H75" s="4">
        <v>6.9014871374104558E-3</v>
      </c>
    </row>
    <row r="76" spans="1:8" x14ac:dyDescent="0.25">
      <c r="A76" s="8">
        <v>41534</v>
      </c>
      <c r="B76" s="4">
        <v>1704.76001</v>
      </c>
      <c r="C76" s="4">
        <v>39.845286000000002</v>
      </c>
      <c r="D76" s="4">
        <v>584.87262699999997</v>
      </c>
      <c r="F76" s="4">
        <v>4.2177392207973785E-3</v>
      </c>
      <c r="G76" s="4">
        <v>4.7269358638066805E-3</v>
      </c>
      <c r="H76" s="4">
        <v>4.7269358638066805E-3</v>
      </c>
    </row>
    <row r="77" spans="1:8" x14ac:dyDescent="0.25">
      <c r="A77" s="8">
        <v>41535</v>
      </c>
      <c r="B77" s="4">
        <v>1725.5200199999999</v>
      </c>
      <c r="C77" s="4">
        <v>40.332690999999997</v>
      </c>
      <c r="D77" s="4">
        <v>584.78265899999997</v>
      </c>
      <c r="F77" s="4">
        <v>1.2177673032111924E-2</v>
      </c>
      <c r="G77" s="4">
        <v>1.2232438236231991E-2</v>
      </c>
      <c r="H77" s="4">
        <v>1.2232438236231991E-2</v>
      </c>
    </row>
    <row r="78" spans="1:8" x14ac:dyDescent="0.25">
      <c r="A78" s="8">
        <v>41536</v>
      </c>
      <c r="B78" s="4">
        <v>1722.339966</v>
      </c>
      <c r="C78" s="4">
        <v>40.248331999999998</v>
      </c>
      <c r="D78" s="4">
        <v>582.66258700000003</v>
      </c>
      <c r="F78" s="4">
        <v>-1.8429539867059752E-3</v>
      </c>
      <c r="G78" s="4">
        <v>-2.0915787642337147E-3</v>
      </c>
      <c r="H78" s="4">
        <v>-2.0915787642337147E-3</v>
      </c>
    </row>
    <row r="79" spans="1:8" x14ac:dyDescent="0.25">
      <c r="A79" s="8">
        <v>41537</v>
      </c>
      <c r="B79" s="4">
        <v>1709.910034</v>
      </c>
      <c r="C79" s="4">
        <v>39.910902</v>
      </c>
      <c r="D79" s="4">
        <v>573.73257899999999</v>
      </c>
      <c r="F79" s="4">
        <v>-7.2168864715295156E-3</v>
      </c>
      <c r="G79" s="4">
        <v>-8.3837014661873877E-3</v>
      </c>
      <c r="H79" s="4">
        <v>-8.3837014661873877E-3</v>
      </c>
    </row>
    <row r="80" spans="1:8" x14ac:dyDescent="0.25">
      <c r="A80" s="8">
        <v>41540</v>
      </c>
      <c r="B80" s="4">
        <v>1701.839966</v>
      </c>
      <c r="C80" s="4">
        <v>39.704690999999997</v>
      </c>
      <c r="D80" s="4">
        <v>595.08269600000006</v>
      </c>
      <c r="F80" s="4">
        <v>-4.719586317135982E-3</v>
      </c>
      <c r="G80" s="4">
        <v>-5.1667837524694837E-3</v>
      </c>
      <c r="H80" s="4">
        <v>-5.1667837524694837E-3</v>
      </c>
    </row>
    <row r="81" spans="1:8" x14ac:dyDescent="0.25">
      <c r="A81" s="8">
        <v>41541</v>
      </c>
      <c r="B81" s="4">
        <v>1697.420044</v>
      </c>
      <c r="C81" s="4">
        <v>39.695315999999998</v>
      </c>
      <c r="D81" s="4">
        <v>589.47264500000006</v>
      </c>
      <c r="F81" s="4">
        <v>-2.597143144069336E-3</v>
      </c>
      <c r="G81" s="4">
        <v>-2.361181957063474E-4</v>
      </c>
      <c r="H81" s="4">
        <v>-2.361181957063474E-4</v>
      </c>
    </row>
    <row r="82" spans="1:8" x14ac:dyDescent="0.25">
      <c r="A82" s="8">
        <v>41542</v>
      </c>
      <c r="B82" s="4">
        <v>1692.7700199999999</v>
      </c>
      <c r="C82" s="4">
        <v>39.610956999999999</v>
      </c>
      <c r="D82" s="4">
        <v>594.74265200000002</v>
      </c>
      <c r="F82" s="4">
        <v>-2.7394657064624406E-3</v>
      </c>
      <c r="G82" s="4">
        <v>-2.1251625758564874E-3</v>
      </c>
      <c r="H82" s="4">
        <v>-2.1251625758564874E-3</v>
      </c>
    </row>
    <row r="83" spans="1:8" x14ac:dyDescent="0.25">
      <c r="A83" s="8">
        <v>41543</v>
      </c>
      <c r="B83" s="4">
        <v>1698.670044</v>
      </c>
      <c r="C83" s="4">
        <v>39.732810000000001</v>
      </c>
      <c r="D83" s="4">
        <v>595.98268599999994</v>
      </c>
      <c r="F83" s="4">
        <v>3.4854256220817614E-3</v>
      </c>
      <c r="G83" s="4">
        <v>3.0762447875218868E-3</v>
      </c>
      <c r="H83" s="4">
        <v>3.0762447875218868E-3</v>
      </c>
    </row>
    <row r="84" spans="1:8" x14ac:dyDescent="0.25">
      <c r="A84" s="8">
        <v>41544</v>
      </c>
      <c r="B84" s="4">
        <v>1691.75</v>
      </c>
      <c r="C84" s="4">
        <v>39.545346000000002</v>
      </c>
      <c r="D84" s="4">
        <v>593.35267099999999</v>
      </c>
      <c r="F84" s="4">
        <v>-4.0738011625287562E-3</v>
      </c>
      <c r="G84" s="4">
        <v>-4.7181158342437524E-3</v>
      </c>
      <c r="H84" s="4">
        <v>-4.7181158342437524E-3</v>
      </c>
    </row>
    <row r="85" spans="1:8" x14ac:dyDescent="0.25">
      <c r="A85" s="8">
        <v>41547</v>
      </c>
      <c r="B85" s="4">
        <v>1681.5500489999999</v>
      </c>
      <c r="C85" s="4">
        <v>39.367257000000002</v>
      </c>
      <c r="D85" s="4">
        <v>589.02268100000003</v>
      </c>
      <c r="F85" s="4">
        <v>-6.0292306782917526E-3</v>
      </c>
      <c r="G85" s="4">
        <v>-4.5034123610905308E-3</v>
      </c>
      <c r="H85" s="4">
        <v>-4.5034123610905308E-3</v>
      </c>
    </row>
    <row r="86" spans="1:8" x14ac:dyDescent="0.25">
      <c r="A86" s="8">
        <v>41548</v>
      </c>
      <c r="B86" s="4">
        <v>1695</v>
      </c>
      <c r="C86" s="4">
        <v>39.704690999999997</v>
      </c>
      <c r="D86" s="4">
        <v>590.60263599999996</v>
      </c>
      <c r="F86" s="4">
        <v>7.9985433725262567E-3</v>
      </c>
      <c r="G86" s="4">
        <v>8.5714379338137636E-3</v>
      </c>
      <c r="H86" s="4">
        <v>8.5714379338137636E-3</v>
      </c>
    </row>
    <row r="87" spans="1:8" x14ac:dyDescent="0.25">
      <c r="A87" s="8">
        <v>41549</v>
      </c>
      <c r="B87" s="4">
        <v>1693.869995</v>
      </c>
      <c r="C87" s="4">
        <v>39.695315999999998</v>
      </c>
      <c r="D87" s="4">
        <v>585.61263299999996</v>
      </c>
      <c r="F87" s="4">
        <v>-6.6666961651917767E-4</v>
      </c>
      <c r="G87" s="4">
        <v>-2.361181957063474E-4</v>
      </c>
      <c r="H87" s="4">
        <v>-2.361181957063474E-4</v>
      </c>
    </row>
    <row r="88" spans="1:8" x14ac:dyDescent="0.25">
      <c r="A88" s="8">
        <v>41550</v>
      </c>
      <c r="B88" s="4">
        <v>1678.660034</v>
      </c>
      <c r="C88" s="4">
        <v>39.329763999999997</v>
      </c>
      <c r="D88" s="4">
        <v>587.42264999999998</v>
      </c>
      <c r="F88" s="4">
        <v>-8.9794146214863257E-3</v>
      </c>
      <c r="G88" s="4">
        <v>-9.2089454584516339E-3</v>
      </c>
      <c r="H88" s="4">
        <v>-9.2089454584516339E-3</v>
      </c>
    </row>
    <row r="89" spans="1:8" x14ac:dyDescent="0.25">
      <c r="A89" s="8">
        <v>41551</v>
      </c>
      <c r="B89" s="4">
        <v>1690.5</v>
      </c>
      <c r="C89" s="4">
        <v>39.657826</v>
      </c>
      <c r="D89" s="4">
        <v>571.60253</v>
      </c>
      <c r="F89" s="4">
        <v>7.0532244529508681E-3</v>
      </c>
      <c r="G89" s="4">
        <v>8.3413162611400971E-3</v>
      </c>
      <c r="H89" s="4">
        <v>8.3413162611400971E-3</v>
      </c>
    </row>
    <row r="90" spans="1:8" x14ac:dyDescent="0.25">
      <c r="A90" s="8">
        <v>41554</v>
      </c>
      <c r="B90" s="4">
        <v>1676.119995</v>
      </c>
      <c r="C90" s="4">
        <v>39.282898000000003</v>
      </c>
      <c r="D90" s="4">
        <v>566.07259399999998</v>
      </c>
      <c r="F90" s="4">
        <v>-8.5063620230700909E-3</v>
      </c>
      <c r="G90" s="4">
        <v>-9.4540734532446713E-3</v>
      </c>
      <c r="H90" s="4">
        <v>-9.4540734532446713E-3</v>
      </c>
    </row>
    <row r="91" spans="1:8" x14ac:dyDescent="0.25">
      <c r="A91" s="8">
        <v>41555</v>
      </c>
      <c r="B91" s="4">
        <v>1655.4499510000001</v>
      </c>
      <c r="C91" s="4">
        <v>38.776747</v>
      </c>
      <c r="D91" s="4">
        <v>573.15261899999996</v>
      </c>
      <c r="F91" s="4">
        <v>-1.2332078885557318E-2</v>
      </c>
      <c r="G91" s="4">
        <v>-1.2884767310191947E-2</v>
      </c>
      <c r="H91" s="4">
        <v>-1.2884767310191947E-2</v>
      </c>
    </row>
    <row r="92" spans="1:8" x14ac:dyDescent="0.25">
      <c r="A92" s="8">
        <v>41556</v>
      </c>
      <c r="B92" s="4">
        <v>1656.400024</v>
      </c>
      <c r="C92" s="4">
        <v>38.795493999999998</v>
      </c>
      <c r="D92" s="4">
        <v>565.07259799999997</v>
      </c>
      <c r="F92" s="4">
        <v>5.7390620563668726E-4</v>
      </c>
      <c r="G92" s="4">
        <v>4.8345984257003316E-4</v>
      </c>
      <c r="H92" s="4">
        <v>4.8345984257003316E-4</v>
      </c>
    </row>
    <row r="93" spans="1:8" x14ac:dyDescent="0.25">
      <c r="A93" s="8">
        <v>41557</v>
      </c>
      <c r="B93" s="4">
        <v>1692.5600589999999</v>
      </c>
      <c r="C93" s="4">
        <v>39.648451000000001</v>
      </c>
      <c r="D93" s="4">
        <v>566.37658899999997</v>
      </c>
      <c r="F93" s="4">
        <v>2.1830496544354094E-2</v>
      </c>
      <c r="G93" s="4">
        <v>2.1985981155440371E-2</v>
      </c>
      <c r="H93" s="4">
        <v>2.1985981155440371E-2</v>
      </c>
    </row>
    <row r="94" spans="1:8" x14ac:dyDescent="0.25">
      <c r="A94" s="8">
        <v>41558</v>
      </c>
      <c r="B94" s="4">
        <v>1703.1999510000001</v>
      </c>
      <c r="C94" s="4">
        <v>39.910902</v>
      </c>
      <c r="D94" s="4">
        <v>563.36252500000001</v>
      </c>
      <c r="F94" s="4">
        <v>6.2862714640012918E-3</v>
      </c>
      <c r="G94" s="4">
        <v>6.6194515392290487E-3</v>
      </c>
      <c r="H94" s="4">
        <v>6.6194515392290487E-3</v>
      </c>
    </row>
    <row r="95" spans="1:8" x14ac:dyDescent="0.25">
      <c r="A95" s="8">
        <v>41561</v>
      </c>
      <c r="B95" s="4">
        <v>1710.1400149999999</v>
      </c>
      <c r="C95" s="4">
        <v>40.042124999999999</v>
      </c>
      <c r="D95" s="4">
        <v>568.77262599999995</v>
      </c>
      <c r="F95" s="4">
        <v>4.0747206432956151E-3</v>
      </c>
      <c r="G95" s="4">
        <v>3.2878986298028323E-3</v>
      </c>
      <c r="H95" s="4">
        <v>3.2878986298028323E-3</v>
      </c>
    </row>
    <row r="96" spans="1:8" x14ac:dyDescent="0.25">
      <c r="A96" s="8">
        <v>41562</v>
      </c>
      <c r="B96" s="4">
        <v>1698.0600589999999</v>
      </c>
      <c r="C96" s="4">
        <v>39.695315999999998</v>
      </c>
      <c r="D96" s="4">
        <v>567.88255100000003</v>
      </c>
      <c r="F96" s="4">
        <v>-7.0637233758897855E-3</v>
      </c>
      <c r="G96" s="4">
        <v>-8.6611037750868869E-3</v>
      </c>
      <c r="H96" s="4">
        <v>-8.6611037750868869E-3</v>
      </c>
    </row>
    <row r="97" spans="1:8" x14ac:dyDescent="0.25">
      <c r="A97" s="8">
        <v>41563</v>
      </c>
      <c r="B97" s="4">
        <v>1721.540039</v>
      </c>
      <c r="C97" s="4">
        <v>40.238961000000003</v>
      </c>
      <c r="D97" s="4">
        <v>562.73256200000003</v>
      </c>
      <c r="F97" s="4">
        <v>1.3827532115576302E-2</v>
      </c>
      <c r="G97" s="4">
        <v>1.3695444570840598E-2</v>
      </c>
      <c r="H97" s="4">
        <v>1.3695444570840598E-2</v>
      </c>
    </row>
    <row r="98" spans="1:8" x14ac:dyDescent="0.25">
      <c r="A98" s="8">
        <v>41564</v>
      </c>
      <c r="B98" s="4">
        <v>1733.150024</v>
      </c>
      <c r="C98" s="4">
        <v>40.585766999999997</v>
      </c>
      <c r="D98" s="4">
        <v>574.78263900000002</v>
      </c>
      <c r="F98" s="4">
        <v>6.7439529357353756E-3</v>
      </c>
      <c r="G98" s="4">
        <v>8.6186618983525864E-3</v>
      </c>
      <c r="H98" s="4">
        <v>8.6186618983525864E-3</v>
      </c>
    </row>
    <row r="99" spans="1:8" x14ac:dyDescent="0.25">
      <c r="A99" s="8">
        <v>41565</v>
      </c>
      <c r="B99" s="4">
        <v>1744.5</v>
      </c>
      <c r="C99" s="4">
        <v>40.810724</v>
      </c>
      <c r="D99" s="4">
        <v>574.65264300000001</v>
      </c>
      <c r="F99" s="4">
        <v>6.5487556430947613E-3</v>
      </c>
      <c r="G99" s="4">
        <v>5.542755912436137E-3</v>
      </c>
      <c r="H99" s="4">
        <v>5.542755912436137E-3</v>
      </c>
    </row>
    <row r="100" spans="1:8" x14ac:dyDescent="0.25">
      <c r="A100" s="8">
        <v>41568</v>
      </c>
      <c r="B100" s="4">
        <v>1744.660034</v>
      </c>
      <c r="C100" s="4">
        <v>40.782601999999997</v>
      </c>
      <c r="D100" s="4">
        <v>573.48256400000002</v>
      </c>
      <c r="F100" s="4">
        <v>9.1736314130175245E-5</v>
      </c>
      <c r="G100" s="4">
        <v>-6.8908358499109035E-4</v>
      </c>
      <c r="H100" s="4">
        <v>-6.8908358499109035E-4</v>
      </c>
    </row>
    <row r="101" spans="1:8" x14ac:dyDescent="0.25">
      <c r="A101" s="8">
        <v>41569</v>
      </c>
      <c r="B101" s="4">
        <v>1754.670044</v>
      </c>
      <c r="C101" s="4">
        <v>41.063800000000001</v>
      </c>
      <c r="D101" s="4">
        <v>582.16261899999995</v>
      </c>
      <c r="F101" s="4">
        <v>5.737513214565837E-3</v>
      </c>
      <c r="G101" s="4">
        <v>6.8950480403384695E-3</v>
      </c>
      <c r="H101" s="4">
        <v>6.8950480403384695E-3</v>
      </c>
    </row>
    <row r="102" spans="1:8" x14ac:dyDescent="0.25">
      <c r="A102" s="8">
        <v>41570</v>
      </c>
      <c r="B102" s="4">
        <v>1746.380005</v>
      </c>
      <c r="C102" s="4">
        <v>40.829470999999998</v>
      </c>
      <c r="D102" s="4">
        <v>586.86264300000005</v>
      </c>
      <c r="F102" s="4">
        <v>-4.7245572056965335E-3</v>
      </c>
      <c r="G102" s="4">
        <v>-5.7064616523556655E-3</v>
      </c>
      <c r="H102" s="4">
        <v>-5.7064616523556655E-3</v>
      </c>
    </row>
    <row r="103" spans="1:8" x14ac:dyDescent="0.25">
      <c r="A103" s="8">
        <v>41571</v>
      </c>
      <c r="B103" s="4">
        <v>1752.0699460000001</v>
      </c>
      <c r="C103" s="4">
        <v>40.951318999999998</v>
      </c>
      <c r="D103" s="4">
        <v>584.49261799999999</v>
      </c>
      <c r="F103" s="4">
        <v>3.258134531836987E-3</v>
      </c>
      <c r="G103" s="4">
        <v>2.9843149327111185E-3</v>
      </c>
      <c r="H103" s="4">
        <v>2.9843149327111185E-3</v>
      </c>
    </row>
    <row r="104" spans="1:8" x14ac:dyDescent="0.25">
      <c r="A104" s="8">
        <v>41572</v>
      </c>
      <c r="B104" s="4">
        <v>1759.7700199999999</v>
      </c>
      <c r="C104" s="4">
        <v>41.157530000000001</v>
      </c>
      <c r="D104" s="4">
        <v>583.37266399999999</v>
      </c>
      <c r="F104" s="4">
        <v>4.3948439487699886E-3</v>
      </c>
      <c r="G104" s="4">
        <v>5.0355154616632536E-3</v>
      </c>
      <c r="H104" s="4">
        <v>5.0355154616632536E-3</v>
      </c>
    </row>
    <row r="105" spans="1:8" x14ac:dyDescent="0.25">
      <c r="A105" s="8">
        <v>41575</v>
      </c>
      <c r="B105" s="4">
        <v>1762.1099850000001</v>
      </c>
      <c r="C105" s="4">
        <v>41.166901000000003</v>
      </c>
      <c r="D105" s="4">
        <v>582.56264199999998</v>
      </c>
      <c r="F105" s="4">
        <v>1.3296993205964558E-3</v>
      </c>
      <c r="G105" s="4">
        <v>2.2768616095292238E-4</v>
      </c>
      <c r="H105" s="4">
        <v>2.2768616095292238E-4</v>
      </c>
    </row>
    <row r="106" spans="1:8" x14ac:dyDescent="0.25">
      <c r="A106" s="8">
        <v>41576</v>
      </c>
      <c r="B106" s="4">
        <v>1771.9499510000001</v>
      </c>
      <c r="C106" s="4">
        <v>41.429352000000002</v>
      </c>
      <c r="D106" s="4">
        <v>580.20265400000005</v>
      </c>
      <c r="F106" s="4">
        <v>5.5841951318378324E-3</v>
      </c>
      <c r="G106" s="4">
        <v>6.3752916451009778E-3</v>
      </c>
      <c r="H106" s="4">
        <v>6.3752916451009778E-3</v>
      </c>
    </row>
    <row r="107" spans="1:8" x14ac:dyDescent="0.25">
      <c r="A107" s="8">
        <v>41577</v>
      </c>
      <c r="B107" s="4">
        <v>1763.3100589999999</v>
      </c>
      <c r="C107" s="4">
        <v>41.157530000000001</v>
      </c>
      <c r="D107" s="4">
        <v>577.862619</v>
      </c>
      <c r="F107" s="4">
        <v>-4.8759232703633471E-3</v>
      </c>
      <c r="G107" s="4">
        <v>-6.5610970695365589E-3</v>
      </c>
      <c r="H107" s="4">
        <v>-6.5610970695365589E-3</v>
      </c>
    </row>
    <row r="108" spans="1:8" x14ac:dyDescent="0.25">
      <c r="A108" s="8">
        <v>41578</v>
      </c>
      <c r="B108" s="4">
        <v>1756.540039</v>
      </c>
      <c r="C108" s="4">
        <v>41.045053000000003</v>
      </c>
      <c r="D108" s="4">
        <v>571.00255700000002</v>
      </c>
      <c r="F108" s="4">
        <v>-3.8393814890611555E-3</v>
      </c>
      <c r="G108" s="4">
        <v>-2.7328413536963359E-3</v>
      </c>
      <c r="H108" s="4">
        <v>-2.7328413536963359E-3</v>
      </c>
    </row>
    <row r="109" spans="1:8" x14ac:dyDescent="0.25">
      <c r="A109" s="8">
        <v>41579</v>
      </c>
      <c r="B109" s="4">
        <v>1761.6400149999999</v>
      </c>
      <c r="C109" s="4">
        <v>41.176276000000001</v>
      </c>
      <c r="D109" s="4">
        <v>569.20257700000002</v>
      </c>
      <c r="F109" s="4">
        <v>2.9034214346195242E-3</v>
      </c>
      <c r="G109" s="4">
        <v>3.1970478878415864E-3</v>
      </c>
      <c r="H109" s="4">
        <v>3.1970478878415864E-3</v>
      </c>
    </row>
    <row r="110" spans="1:8" x14ac:dyDescent="0.25">
      <c r="A110" s="8">
        <v>41582</v>
      </c>
      <c r="B110" s="4">
        <v>1767.9300539999999</v>
      </c>
      <c r="C110" s="4">
        <v>41.401229999999998</v>
      </c>
      <c r="D110" s="4">
        <v>571.60253</v>
      </c>
      <c r="F110" s="4">
        <v>3.5705586535510481E-3</v>
      </c>
      <c r="G110" s="4">
        <v>5.4631943889242862E-3</v>
      </c>
      <c r="H110" s="4">
        <v>5.4631943889242862E-3</v>
      </c>
    </row>
    <row r="111" spans="1:8" x14ac:dyDescent="0.25">
      <c r="A111" s="8">
        <v>41583</v>
      </c>
      <c r="B111" s="4">
        <v>1762.969971</v>
      </c>
      <c r="C111" s="4">
        <v>41.241888000000003</v>
      </c>
      <c r="D111" s="4">
        <v>577.33266200000003</v>
      </c>
      <c r="F111" s="4">
        <v>-2.8055878052288818E-3</v>
      </c>
      <c r="G111" s="4">
        <v>-3.8487262334958583E-3</v>
      </c>
      <c r="H111" s="4">
        <v>-3.8487262334958583E-3</v>
      </c>
    </row>
    <row r="112" spans="1:8" x14ac:dyDescent="0.25">
      <c r="A112" s="8">
        <v>41584</v>
      </c>
      <c r="B112" s="4">
        <v>1770.48999</v>
      </c>
      <c r="C112" s="4">
        <v>41.335617999999997</v>
      </c>
      <c r="D112" s="4">
        <v>577.94261100000006</v>
      </c>
      <c r="F112" s="4">
        <v>4.265540039649407E-3</v>
      </c>
      <c r="G112" s="4">
        <v>2.2726893589350983E-3</v>
      </c>
      <c r="H112" s="4">
        <v>2.2726893589350983E-3</v>
      </c>
    </row>
    <row r="113" spans="1:8" x14ac:dyDescent="0.25">
      <c r="A113" s="8">
        <v>41585</v>
      </c>
      <c r="B113" s="4">
        <v>1747.150024</v>
      </c>
      <c r="C113" s="4">
        <v>40.726365000000001</v>
      </c>
      <c r="D113" s="4">
        <v>581.98262099999999</v>
      </c>
      <c r="F113" s="4">
        <v>-1.3182772075429838E-2</v>
      </c>
      <c r="G113" s="4">
        <v>-1.4739177239348256E-2</v>
      </c>
      <c r="H113" s="4">
        <v>-1.4739177239348256E-2</v>
      </c>
    </row>
    <row r="114" spans="1:8" x14ac:dyDescent="0.25">
      <c r="A114" s="8">
        <v>41586</v>
      </c>
      <c r="B114" s="4">
        <v>1770.6099850000001</v>
      </c>
      <c r="C114" s="4">
        <v>41.270007</v>
      </c>
      <c r="D114" s="4">
        <v>586.082672</v>
      </c>
      <c r="F114" s="4">
        <v>1.3427559555698521E-2</v>
      </c>
      <c r="G114" s="4">
        <v>1.3348650192571698E-2</v>
      </c>
      <c r="H114" s="4">
        <v>1.3348650192571698E-2</v>
      </c>
    </row>
    <row r="115" spans="1:8" x14ac:dyDescent="0.25">
      <c r="A115" s="8">
        <v>41589</v>
      </c>
      <c r="B115" s="4">
        <v>1771.8900149999999</v>
      </c>
      <c r="C115" s="4">
        <v>41.335617999999997</v>
      </c>
      <c r="D115" s="4">
        <v>589.72265900000002</v>
      </c>
      <c r="F115" s="4">
        <v>7.2293165115056013E-4</v>
      </c>
      <c r="G115" s="4">
        <v>1.5897986157356048E-3</v>
      </c>
      <c r="H115" s="4">
        <v>1.5897986157356048E-3</v>
      </c>
    </row>
    <row r="116" spans="1:8" x14ac:dyDescent="0.25">
      <c r="A116" s="8">
        <v>41590</v>
      </c>
      <c r="B116" s="4">
        <v>1767.6899410000001</v>
      </c>
      <c r="C116" s="4">
        <v>41.232517000000001</v>
      </c>
      <c r="D116" s="4">
        <v>581.01261499999998</v>
      </c>
      <c r="F116" s="4">
        <v>-2.3703920471609408E-3</v>
      </c>
      <c r="G116" s="4">
        <v>-2.4942411650890062E-3</v>
      </c>
      <c r="H116" s="4">
        <v>-2.4942411650890062E-3</v>
      </c>
    </row>
    <row r="117" spans="1:8" x14ac:dyDescent="0.25">
      <c r="A117" s="8">
        <v>41591</v>
      </c>
      <c r="B117" s="4">
        <v>1782</v>
      </c>
      <c r="C117" s="4">
        <v>41.607441000000001</v>
      </c>
      <c r="D117" s="4">
        <v>583.10263599999996</v>
      </c>
      <c r="F117" s="4">
        <v>8.0953444764779725E-3</v>
      </c>
      <c r="G117" s="4">
        <v>9.092920521927006E-3</v>
      </c>
      <c r="H117" s="4">
        <v>9.092920521927006E-3</v>
      </c>
    </row>
    <row r="118" spans="1:8" x14ac:dyDescent="0.25">
      <c r="A118" s="8">
        <v>41592</v>
      </c>
      <c r="B118" s="4">
        <v>1790.619995</v>
      </c>
      <c r="C118" s="4">
        <v>41.823022999999999</v>
      </c>
      <c r="D118" s="4">
        <v>581.35259799999994</v>
      </c>
      <c r="F118" s="4">
        <v>4.8372586980920396E-3</v>
      </c>
      <c r="G118" s="4">
        <v>5.1813328293850436E-3</v>
      </c>
      <c r="H118" s="4">
        <v>5.1813328293850436E-3</v>
      </c>
    </row>
    <row r="119" spans="1:8" x14ac:dyDescent="0.25">
      <c r="A119" s="8">
        <v>41593</v>
      </c>
      <c r="B119" s="4">
        <v>1798.1800539999999</v>
      </c>
      <c r="C119" s="4">
        <v>42.001114999999999</v>
      </c>
      <c r="D119" s="4">
        <v>575.62258899999995</v>
      </c>
      <c r="F119" s="4">
        <v>4.2220342792496091E-3</v>
      </c>
      <c r="G119" s="4">
        <v>4.258228775093631E-3</v>
      </c>
      <c r="H119" s="4">
        <v>4.258228775093631E-3</v>
      </c>
    </row>
    <row r="120" spans="1:8" x14ac:dyDescent="0.25">
      <c r="A120" s="8">
        <v>41596</v>
      </c>
      <c r="B120" s="4">
        <v>1791.530029</v>
      </c>
      <c r="C120" s="4">
        <v>41.766786000000003</v>
      </c>
      <c r="D120" s="4">
        <v>573.10255500000005</v>
      </c>
      <c r="F120" s="4">
        <v>-3.6981975109817711E-3</v>
      </c>
      <c r="G120" s="4">
        <v>-5.5791137925742529E-3</v>
      </c>
      <c r="H120" s="4">
        <v>-5.5791137925742529E-3</v>
      </c>
    </row>
    <row r="121" spans="1:8" x14ac:dyDescent="0.25">
      <c r="A121" s="8">
        <v>41597</v>
      </c>
      <c r="B121" s="4">
        <v>1787.869995</v>
      </c>
      <c r="C121" s="4">
        <v>41.598069000000002</v>
      </c>
      <c r="D121" s="4">
        <v>579.95263999999997</v>
      </c>
      <c r="F121" s="4">
        <v>-2.0429654768572281E-3</v>
      </c>
      <c r="G121" s="4">
        <v>-4.0395016269626494E-3</v>
      </c>
      <c r="H121" s="4">
        <v>-4.0395016269626494E-3</v>
      </c>
    </row>
    <row r="122" spans="1:8" x14ac:dyDescent="0.25">
      <c r="A122" s="8">
        <v>41598</v>
      </c>
      <c r="B122" s="4">
        <v>1781.369995</v>
      </c>
      <c r="C122" s="4">
        <v>41.457470000000001</v>
      </c>
      <c r="D122" s="4">
        <v>584.77268300000003</v>
      </c>
      <c r="F122" s="4">
        <v>-3.6356111004592906E-3</v>
      </c>
      <c r="G122" s="4">
        <v>-3.3799405448363684E-3</v>
      </c>
      <c r="H122" s="4">
        <v>-3.3799405448363684E-3</v>
      </c>
    </row>
    <row r="123" spans="1:8" x14ac:dyDescent="0.25">
      <c r="A123" s="8">
        <v>41599</v>
      </c>
      <c r="B123" s="4">
        <v>1795.849976</v>
      </c>
      <c r="C123" s="4">
        <v>41.823022999999999</v>
      </c>
      <c r="D123" s="4">
        <v>589.272695</v>
      </c>
      <c r="F123" s="4">
        <v>8.1285645546083085E-3</v>
      </c>
      <c r="G123" s="4">
        <v>8.8175424115364276E-3</v>
      </c>
      <c r="H123" s="4">
        <v>8.8175424115364276E-3</v>
      </c>
    </row>
    <row r="124" spans="1:8" x14ac:dyDescent="0.25">
      <c r="A124" s="8">
        <v>41600</v>
      </c>
      <c r="B124" s="4">
        <v>1804.76001</v>
      </c>
      <c r="C124" s="4">
        <v>42.010486999999998</v>
      </c>
      <c r="D124" s="4">
        <v>596.08269199999995</v>
      </c>
      <c r="F124" s="4">
        <v>4.9614578718015778E-3</v>
      </c>
      <c r="G124" s="4">
        <v>4.4823158765925353E-3</v>
      </c>
      <c r="H124" s="4">
        <v>4.4823158765925353E-3</v>
      </c>
    </row>
    <row r="125" spans="1:8" x14ac:dyDescent="0.25">
      <c r="A125" s="8">
        <v>41603</v>
      </c>
      <c r="B125" s="4">
        <v>1802.4799800000001</v>
      </c>
      <c r="C125" s="4">
        <v>41.916756999999997</v>
      </c>
      <c r="D125" s="4">
        <v>587.37264800000003</v>
      </c>
      <c r="F125" s="4">
        <v>-1.2633424872927623E-3</v>
      </c>
      <c r="G125" s="4">
        <v>-2.2311095798532854E-3</v>
      </c>
      <c r="H125" s="4">
        <v>-2.2311095798532854E-3</v>
      </c>
    </row>
    <row r="126" spans="1:8" x14ac:dyDescent="0.25">
      <c r="A126" s="8">
        <v>41604</v>
      </c>
      <c r="B126" s="4">
        <v>1802.75</v>
      </c>
      <c r="C126" s="4">
        <v>41.944875000000003</v>
      </c>
      <c r="D126" s="4">
        <v>581.13263400000005</v>
      </c>
      <c r="F126" s="4">
        <v>1.4980471516801153E-4</v>
      </c>
      <c r="G126" s="4">
        <v>6.7080571142486001E-4</v>
      </c>
      <c r="H126" s="4">
        <v>6.7080571142486001E-4</v>
      </c>
    </row>
    <row r="127" spans="1:8" x14ac:dyDescent="0.25">
      <c r="A127" s="8">
        <v>41605</v>
      </c>
      <c r="B127" s="4">
        <v>1807.2299800000001</v>
      </c>
      <c r="C127" s="4">
        <v>42.057352000000002</v>
      </c>
      <c r="D127" s="4">
        <v>587.99263399999995</v>
      </c>
      <c r="F127" s="4">
        <v>2.4850811260574979E-3</v>
      </c>
      <c r="G127" s="4">
        <v>2.6815433351512485E-3</v>
      </c>
      <c r="H127" s="4">
        <v>2.6815433351512485E-3</v>
      </c>
    </row>
    <row r="128" spans="1:8" x14ac:dyDescent="0.25">
      <c r="A128" s="8">
        <v>41607</v>
      </c>
      <c r="B128" s="4">
        <v>1805.8100589999999</v>
      </c>
      <c r="C128" s="4">
        <v>41.982368999999998</v>
      </c>
      <c r="D128" s="4">
        <v>575.06258100000002</v>
      </c>
      <c r="F128" s="4">
        <v>-7.8568915728149946E-4</v>
      </c>
      <c r="G128" s="4">
        <v>-1.7828749655947052E-3</v>
      </c>
      <c r="H128" s="4">
        <v>-1.7828749655947052E-3</v>
      </c>
    </row>
    <row r="129" spans="1:8" x14ac:dyDescent="0.25">
      <c r="A129" s="8">
        <v>41610</v>
      </c>
      <c r="B129" s="4">
        <v>1800.900024</v>
      </c>
      <c r="C129" s="4">
        <v>41.888635000000001</v>
      </c>
      <c r="D129" s="4">
        <v>577.10260000000005</v>
      </c>
      <c r="F129" s="4">
        <v>-2.7190207383820386E-3</v>
      </c>
      <c r="G129" s="4">
        <v>-2.2326991599734836E-3</v>
      </c>
      <c r="H129" s="4">
        <v>-2.2326991599734836E-3</v>
      </c>
    </row>
    <row r="130" spans="1:8" x14ac:dyDescent="0.25">
      <c r="A130" s="8">
        <v>41611</v>
      </c>
      <c r="B130" s="4">
        <v>1795.150024</v>
      </c>
      <c r="C130" s="4">
        <v>41.748040000000003</v>
      </c>
      <c r="D130" s="4">
        <v>576.36259399999994</v>
      </c>
      <c r="F130" s="4">
        <v>-3.1928479778842167E-3</v>
      </c>
      <c r="G130" s="4">
        <v>-3.3563996535097562E-3</v>
      </c>
      <c r="H130" s="4">
        <v>-3.3563996535097562E-3</v>
      </c>
    </row>
    <row r="131" spans="1:8" x14ac:dyDescent="0.25">
      <c r="A131" s="8">
        <v>41612</v>
      </c>
      <c r="B131" s="4">
        <v>1792.8100589999999</v>
      </c>
      <c r="C131" s="4">
        <v>41.691799000000003</v>
      </c>
      <c r="D131" s="4">
        <v>577.36258999999995</v>
      </c>
      <c r="F131" s="4">
        <v>-1.3034927269121033E-3</v>
      </c>
      <c r="G131" s="4">
        <v>-1.3471530639522777E-3</v>
      </c>
      <c r="H131" s="4">
        <v>-1.3471530639522777E-3</v>
      </c>
    </row>
    <row r="132" spans="1:8" x14ac:dyDescent="0.25">
      <c r="A132" s="8">
        <v>41613</v>
      </c>
      <c r="B132" s="4">
        <v>1785.030029</v>
      </c>
      <c r="C132" s="4">
        <v>41.523082000000002</v>
      </c>
      <c r="D132" s="4">
        <v>568.27259700000002</v>
      </c>
      <c r="F132" s="4">
        <v>-4.3395729296272778E-3</v>
      </c>
      <c r="G132" s="4">
        <v>-4.0467670872154082E-3</v>
      </c>
      <c r="H132" s="4">
        <v>-4.0467670872154082E-3</v>
      </c>
    </row>
    <row r="133" spans="1:8" x14ac:dyDescent="0.25">
      <c r="A133" s="8">
        <v>41614</v>
      </c>
      <c r="B133" s="4">
        <v>1805.089966</v>
      </c>
      <c r="C133" s="4">
        <v>42.001114999999999</v>
      </c>
      <c r="D133" s="4">
        <v>570.08261500000003</v>
      </c>
      <c r="F133" s="4">
        <v>1.1237870889621915E-2</v>
      </c>
      <c r="G133" s="4">
        <v>1.1512464320446947E-2</v>
      </c>
      <c r="H133" s="4">
        <v>1.1512464320446947E-2</v>
      </c>
    </row>
    <row r="134" spans="1:8" x14ac:dyDescent="0.25">
      <c r="A134" s="8">
        <v>41617</v>
      </c>
      <c r="B134" s="4">
        <v>1808.369995</v>
      </c>
      <c r="C134" s="4">
        <v>42.047980000000003</v>
      </c>
      <c r="D134" s="4">
        <v>575.28260599999999</v>
      </c>
      <c r="F134" s="4">
        <v>1.8171000126205872E-3</v>
      </c>
      <c r="G134" s="4">
        <v>1.1158037114016306E-3</v>
      </c>
      <c r="H134" s="4">
        <v>1.1158037114016306E-3</v>
      </c>
    </row>
    <row r="135" spans="1:8" x14ac:dyDescent="0.25">
      <c r="A135" s="8">
        <v>41618</v>
      </c>
      <c r="B135" s="4">
        <v>1802.619995</v>
      </c>
      <c r="C135" s="4">
        <v>41.944875000000003</v>
      </c>
      <c r="D135" s="4">
        <v>577.35261400000002</v>
      </c>
      <c r="F135" s="4">
        <v>-3.1796590387466184E-3</v>
      </c>
      <c r="G135" s="4">
        <v>-2.4520797431886177E-3</v>
      </c>
      <c r="H135" s="4">
        <v>-2.4520797431886177E-3</v>
      </c>
    </row>
    <row r="136" spans="1:8" x14ac:dyDescent="0.25">
      <c r="A136" s="8">
        <v>41619</v>
      </c>
      <c r="B136" s="4">
        <v>1782.219971</v>
      </c>
      <c r="C136" s="4">
        <v>41.401229999999998</v>
      </c>
      <c r="D136" s="4">
        <v>563.74253399999998</v>
      </c>
      <c r="F136" s="4">
        <v>-1.1316874358758056E-2</v>
      </c>
      <c r="G136" s="4">
        <v>-1.2960939804922633E-2</v>
      </c>
      <c r="H136" s="4">
        <v>-1.2960939804922633E-2</v>
      </c>
    </row>
    <row r="137" spans="1:8" x14ac:dyDescent="0.25">
      <c r="A137" s="8">
        <v>41620</v>
      </c>
      <c r="B137" s="4">
        <v>1775.5</v>
      </c>
      <c r="C137" s="4">
        <v>41.307499999999997</v>
      </c>
      <c r="D137" s="4">
        <v>572.50258199999996</v>
      </c>
      <c r="F137" s="4">
        <v>-3.7705620570671616E-3</v>
      </c>
      <c r="G137" s="4">
        <v>-2.2639423997790065E-3</v>
      </c>
      <c r="H137" s="4">
        <v>-2.2639423997790065E-3</v>
      </c>
    </row>
    <row r="138" spans="1:8" x14ac:dyDescent="0.25">
      <c r="A138" s="8">
        <v>41621</v>
      </c>
      <c r="B138" s="4">
        <v>1775.3199460000001</v>
      </c>
      <c r="C138" s="4">
        <v>41.369843000000003</v>
      </c>
      <c r="D138" s="4">
        <v>560.88257899999996</v>
      </c>
      <c r="F138" s="4">
        <v>-1.0141030695576259E-4</v>
      </c>
      <c r="G138" s="4">
        <v>1.5092416631363736E-3</v>
      </c>
      <c r="H138" s="4">
        <v>1.5092416631363736E-3</v>
      </c>
    </row>
    <row r="139" spans="1:8" x14ac:dyDescent="0.25">
      <c r="A139" s="8">
        <v>41624</v>
      </c>
      <c r="B139" s="4">
        <v>1786.540039</v>
      </c>
      <c r="C139" s="4">
        <v>41.671810000000001</v>
      </c>
      <c r="D139" s="4">
        <v>544.49247600000001</v>
      </c>
      <c r="F139" s="4">
        <v>6.3200399597154178E-3</v>
      </c>
      <c r="G139" s="4">
        <v>7.2992058490528589E-3</v>
      </c>
      <c r="H139" s="4">
        <v>7.2992058490528589E-3</v>
      </c>
    </row>
    <row r="140" spans="1:8" x14ac:dyDescent="0.25">
      <c r="A140" s="8">
        <v>41625</v>
      </c>
      <c r="B140" s="4">
        <v>1781</v>
      </c>
      <c r="C140" s="4">
        <v>41.613366999999997</v>
      </c>
      <c r="D140" s="4">
        <v>533.21245599999997</v>
      </c>
      <c r="F140" s="4">
        <v>-3.100987875480743E-3</v>
      </c>
      <c r="G140" s="4">
        <v>-1.4024588804758542E-3</v>
      </c>
      <c r="H140" s="4">
        <v>-1.4024588804758542E-3</v>
      </c>
    </row>
    <row r="141" spans="1:8" x14ac:dyDescent="0.25">
      <c r="A141" s="8">
        <v>41626</v>
      </c>
      <c r="B141" s="4">
        <v>1810.650024</v>
      </c>
      <c r="C141" s="4">
        <v>42.236787999999997</v>
      </c>
      <c r="D141" s="4">
        <v>537.942408</v>
      </c>
      <c r="F141" s="4">
        <v>1.6647964065132026E-2</v>
      </c>
      <c r="G141" s="4">
        <v>1.4981267918070751E-2</v>
      </c>
      <c r="H141" s="4">
        <v>1.4981267918070751E-2</v>
      </c>
    </row>
    <row r="142" spans="1:8" x14ac:dyDescent="0.25">
      <c r="A142" s="8">
        <v>41627</v>
      </c>
      <c r="B142" s="4">
        <v>1809.599976</v>
      </c>
      <c r="C142" s="4">
        <v>42.197823</v>
      </c>
      <c r="D142" s="4">
        <v>530.03240900000003</v>
      </c>
      <c r="F142" s="4">
        <v>-5.7992874718015841E-4</v>
      </c>
      <c r="G142" s="4">
        <v>-9.2253700731215194E-4</v>
      </c>
      <c r="H142" s="4">
        <v>-9.2253700731215194E-4</v>
      </c>
    </row>
    <row r="143" spans="1:8" x14ac:dyDescent="0.25">
      <c r="A143" s="8">
        <v>41628</v>
      </c>
      <c r="B143" s="4">
        <v>1818.3199460000001</v>
      </c>
      <c r="C143" s="4">
        <v>42.470568999999998</v>
      </c>
      <c r="D143" s="4">
        <v>524.51238699999999</v>
      </c>
      <c r="F143" s="4">
        <v>4.8187279595763854E-3</v>
      </c>
      <c r="G143" s="4">
        <v>6.4635087928588408E-3</v>
      </c>
      <c r="H143" s="4">
        <v>6.4635087928588408E-3</v>
      </c>
    </row>
    <row r="144" spans="1:8" x14ac:dyDescent="0.25">
      <c r="A144" s="8">
        <v>41631</v>
      </c>
      <c r="B144" s="4">
        <v>1827.98999</v>
      </c>
      <c r="C144" s="4">
        <v>42.694614000000001</v>
      </c>
      <c r="D144" s="4">
        <v>511.17233499999998</v>
      </c>
      <c r="F144" s="4">
        <v>5.3181201808143452E-3</v>
      </c>
      <c r="G144" s="4">
        <v>5.2753001731624671E-3</v>
      </c>
      <c r="H144" s="4">
        <v>5.2753001731624671E-3</v>
      </c>
    </row>
    <row r="145" spans="1:8" x14ac:dyDescent="0.25">
      <c r="A145" s="8">
        <v>41632</v>
      </c>
      <c r="B145" s="4">
        <v>1833.3199460000001</v>
      </c>
      <c r="C145" s="4">
        <v>42.850468999999997</v>
      </c>
      <c r="D145" s="4">
        <v>520.84240999999997</v>
      </c>
      <c r="F145" s="4">
        <v>2.9157468198170999E-3</v>
      </c>
      <c r="G145" s="4">
        <v>3.6504604538640795E-3</v>
      </c>
      <c r="H145" s="4">
        <v>3.6504604538640795E-3</v>
      </c>
    </row>
    <row r="146" spans="1:8" x14ac:dyDescent="0.25">
      <c r="A146" s="8">
        <v>41634</v>
      </c>
      <c r="B146" s="4">
        <v>1842.0200199999999</v>
      </c>
      <c r="C146" s="4">
        <v>42.996580999999999</v>
      </c>
      <c r="D146" s="4">
        <v>526.54236900000001</v>
      </c>
      <c r="F146" s="4">
        <v>4.7455295618106241E-3</v>
      </c>
      <c r="G146" s="4">
        <v>3.4098109871329996E-3</v>
      </c>
      <c r="H146" s="4">
        <v>3.4098109871329996E-3</v>
      </c>
    </row>
    <row r="147" spans="1:8" x14ac:dyDescent="0.25">
      <c r="A147" s="8">
        <v>41635</v>
      </c>
      <c r="B147" s="4">
        <v>1841.400024</v>
      </c>
      <c r="C147" s="4">
        <v>43.016063000000003</v>
      </c>
      <c r="D147" s="4">
        <v>532.71242700000005</v>
      </c>
      <c r="F147" s="4">
        <v>-3.3658483255782912E-4</v>
      </c>
      <c r="G147" s="4">
        <v>4.5310579462132239E-4</v>
      </c>
      <c r="H147" s="4">
        <v>4.5310579462132239E-4</v>
      </c>
    </row>
    <row r="148" spans="1:8" x14ac:dyDescent="0.25">
      <c r="A148" s="8">
        <v>41638</v>
      </c>
      <c r="B148" s="4">
        <v>1841.0699460000001</v>
      </c>
      <c r="C148" s="4">
        <v>43.064767000000003</v>
      </c>
      <c r="D148" s="4">
        <v>543.98240999999996</v>
      </c>
      <c r="F148" s="4">
        <v>-1.7925382627237418E-4</v>
      </c>
      <c r="G148" s="4">
        <v>1.1322282097272485E-3</v>
      </c>
      <c r="H148" s="4">
        <v>1.1322282097272485E-3</v>
      </c>
    </row>
    <row r="149" spans="1:8" x14ac:dyDescent="0.25">
      <c r="A149" s="8">
        <v>41639</v>
      </c>
      <c r="B149" s="4">
        <v>1848.3599850000001</v>
      </c>
      <c r="C149" s="4">
        <v>43.201140000000002</v>
      </c>
      <c r="D149" s="4">
        <v>539.78247599999997</v>
      </c>
      <c r="F149" s="4">
        <v>3.9596751963926202E-3</v>
      </c>
      <c r="G149" s="4">
        <v>3.1666954101945421E-3</v>
      </c>
      <c r="H149" s="4">
        <v>3.1666954101945421E-3</v>
      </c>
    </row>
    <row r="150" spans="1:8" x14ac:dyDescent="0.25">
      <c r="A150" s="8">
        <v>41641</v>
      </c>
      <c r="B150" s="4">
        <v>1831.9799800000001</v>
      </c>
      <c r="C150" s="4">
        <v>42.792022000000003</v>
      </c>
      <c r="D150" s="4">
        <v>540.77249600000005</v>
      </c>
      <c r="F150" s="4">
        <v>-8.8619127945468446E-3</v>
      </c>
      <c r="G150" s="4">
        <v>-9.4700741693389823E-3</v>
      </c>
      <c r="H150" s="4">
        <v>-9.4700741693389823E-3</v>
      </c>
    </row>
    <row r="151" spans="1:8" x14ac:dyDescent="0.25">
      <c r="A151" s="8">
        <v>41642</v>
      </c>
      <c r="B151" s="4">
        <v>1831.369995</v>
      </c>
      <c r="C151" s="4">
        <v>42.801760999999999</v>
      </c>
      <c r="D151" s="4">
        <v>548.90251899999998</v>
      </c>
      <c r="F151" s="4">
        <v>-3.329648831642551E-4</v>
      </c>
      <c r="G151" s="4">
        <v>2.2758915201515073E-4</v>
      </c>
      <c r="H151" s="4">
        <v>2.2758915201515073E-4</v>
      </c>
    </row>
    <row r="152" spans="1:8" x14ac:dyDescent="0.25">
      <c r="A152" s="8">
        <v>41645</v>
      </c>
      <c r="B152" s="4">
        <v>1826.7700199999999</v>
      </c>
      <c r="C152" s="4">
        <v>42.645905999999997</v>
      </c>
      <c r="D152" s="4">
        <v>549.33253200000001</v>
      </c>
      <c r="F152" s="4">
        <v>-2.5117671538569253E-3</v>
      </c>
      <c r="G152" s="4">
        <v>-3.6413221409278274E-3</v>
      </c>
      <c r="H152" s="4">
        <v>-3.6413221409278274E-3</v>
      </c>
    </row>
    <row r="153" spans="1:8" x14ac:dyDescent="0.25">
      <c r="A153" s="8">
        <v>41646</v>
      </c>
      <c r="B153" s="4">
        <v>1837.880005</v>
      </c>
      <c r="C153" s="4">
        <v>42.908912000000001</v>
      </c>
      <c r="D153" s="4">
        <v>550.31251399999996</v>
      </c>
      <c r="F153" s="4">
        <v>6.0817644686330663E-3</v>
      </c>
      <c r="G153" s="4">
        <v>6.1672039515352495E-3</v>
      </c>
      <c r="H153" s="4">
        <v>6.1672039515352495E-3</v>
      </c>
    </row>
    <row r="154" spans="1:8" x14ac:dyDescent="0.25">
      <c r="A154" s="8">
        <v>41647</v>
      </c>
      <c r="B154" s="4">
        <v>1837.48999</v>
      </c>
      <c r="C154" s="4">
        <v>42.947876999999998</v>
      </c>
      <c r="D154" s="4">
        <v>559.082538</v>
      </c>
      <c r="F154" s="4">
        <v>-2.1220917521214133E-4</v>
      </c>
      <c r="G154" s="4">
        <v>9.0808641337725149E-4</v>
      </c>
      <c r="H154" s="4">
        <v>9.0808641337725149E-4</v>
      </c>
    </row>
    <row r="155" spans="1:8" x14ac:dyDescent="0.25">
      <c r="A155" s="8">
        <v>41648</v>
      </c>
      <c r="B155" s="4">
        <v>1838.130005</v>
      </c>
      <c r="C155" s="4">
        <v>42.996580999999999</v>
      </c>
      <c r="D155" s="4">
        <v>555.22246399999995</v>
      </c>
      <c r="F155" s="4">
        <v>3.4830938044994042E-4</v>
      </c>
      <c r="G155" s="4">
        <v>1.1340257866530035E-3</v>
      </c>
      <c r="H155" s="4">
        <v>1.1340257866530035E-3</v>
      </c>
    </row>
    <row r="156" spans="1:8" x14ac:dyDescent="0.25">
      <c r="A156" s="8">
        <v>41649</v>
      </c>
      <c r="B156" s="4">
        <v>1842.369995</v>
      </c>
      <c r="C156" s="4">
        <v>43.181662000000003</v>
      </c>
      <c r="D156" s="4">
        <v>554.11248599999999</v>
      </c>
      <c r="F156" s="4">
        <v>2.3066866807388564E-3</v>
      </c>
      <c r="G156" s="4">
        <v>4.3045515642279319E-3</v>
      </c>
      <c r="H156" s="4">
        <v>4.3045515642279319E-3</v>
      </c>
    </row>
    <row r="157" spans="1:8" x14ac:dyDescent="0.25">
      <c r="A157" s="8">
        <v>41652</v>
      </c>
      <c r="B157" s="4">
        <v>1819.1999510000001</v>
      </c>
      <c r="C157" s="4">
        <v>42.597202000000003</v>
      </c>
      <c r="D157" s="4">
        <v>545.92242299999998</v>
      </c>
      <c r="F157" s="4">
        <v>-1.2576216537872997E-2</v>
      </c>
      <c r="G157" s="4">
        <v>-1.3534912111534791E-2</v>
      </c>
      <c r="H157" s="4">
        <v>-1.3534912111534791E-2</v>
      </c>
    </row>
    <row r="158" spans="1:8" x14ac:dyDescent="0.25">
      <c r="A158" s="8">
        <v>41653</v>
      </c>
      <c r="B158" s="4">
        <v>1838.880005</v>
      </c>
      <c r="C158" s="4">
        <v>43.064767000000003</v>
      </c>
      <c r="D158" s="4">
        <v>542.04245800000001</v>
      </c>
      <c r="F158" s="4">
        <v>1.0817971927264969E-2</v>
      </c>
      <c r="G158" s="4">
        <v>1.0976425165202253E-2</v>
      </c>
      <c r="H158" s="4">
        <v>1.0976425165202253E-2</v>
      </c>
    </row>
    <row r="159" spans="1:8" x14ac:dyDescent="0.25">
      <c r="A159" s="8">
        <v>41654</v>
      </c>
      <c r="B159" s="4">
        <v>1848.380005</v>
      </c>
      <c r="C159" s="4">
        <v>43.210883000000003</v>
      </c>
      <c r="D159" s="4">
        <v>541.012473</v>
      </c>
      <c r="F159" s="4">
        <v>5.1661881004574361E-3</v>
      </c>
      <c r="G159" s="4">
        <v>3.3929360398026187E-3</v>
      </c>
      <c r="H159" s="4">
        <v>3.3929360398026187E-3</v>
      </c>
    </row>
    <row r="160" spans="1:8" x14ac:dyDescent="0.25">
      <c r="A160" s="8">
        <v>41655</v>
      </c>
      <c r="B160" s="4">
        <v>1845.8900149999999</v>
      </c>
      <c r="C160" s="4">
        <v>43.171919000000003</v>
      </c>
      <c r="D160" s="4">
        <v>547.49246300000004</v>
      </c>
      <c r="F160" s="4">
        <v>-1.3471201772711217E-3</v>
      </c>
      <c r="G160" s="4">
        <v>-9.0171728265775464E-4</v>
      </c>
      <c r="H160" s="4">
        <v>-9.0171728265775464E-4</v>
      </c>
    </row>
    <row r="161" spans="1:8" x14ac:dyDescent="0.25">
      <c r="A161" s="8">
        <v>41656</v>
      </c>
      <c r="B161" s="4">
        <v>1838.6999510000001</v>
      </c>
      <c r="C161" s="4">
        <v>43.035545999999997</v>
      </c>
      <c r="D161" s="4">
        <v>550.29244000000006</v>
      </c>
      <c r="F161" s="4">
        <v>-3.8951746537292387E-3</v>
      </c>
      <c r="G161" s="4">
        <v>-3.1588357237491982E-3</v>
      </c>
      <c r="H161" s="4">
        <v>-3.1588357237491982E-3</v>
      </c>
    </row>
    <row r="162" spans="1:8" x14ac:dyDescent="0.25">
      <c r="A162" s="8">
        <v>41660</v>
      </c>
      <c r="B162" s="4">
        <v>1843.8000489999999</v>
      </c>
      <c r="C162" s="4">
        <v>43.171919000000003</v>
      </c>
      <c r="D162" s="4">
        <v>547.31246499999997</v>
      </c>
      <c r="F162" s="4">
        <v>2.7737521813855359E-3</v>
      </c>
      <c r="G162" s="4">
        <v>3.1688455863905229E-3</v>
      </c>
      <c r="H162" s="4">
        <v>3.1688455863905229E-3</v>
      </c>
    </row>
    <row r="163" spans="1:8" x14ac:dyDescent="0.25">
      <c r="A163" s="8">
        <v>41661</v>
      </c>
      <c r="B163" s="4">
        <v>1844.8599850000001</v>
      </c>
      <c r="C163" s="4">
        <v>43.279069999999997</v>
      </c>
      <c r="D163" s="4">
        <v>545.38248999999996</v>
      </c>
      <c r="F163" s="4">
        <v>5.7486493753744483E-4</v>
      </c>
      <c r="G163" s="4">
        <v>2.4819605540349343E-3</v>
      </c>
      <c r="H163" s="4">
        <v>2.4819605540349343E-3</v>
      </c>
    </row>
    <row r="164" spans="1:8" x14ac:dyDescent="0.25">
      <c r="A164" s="8">
        <v>41662</v>
      </c>
      <c r="B164" s="4">
        <v>1828.459961</v>
      </c>
      <c r="C164" s="4">
        <v>42.830987</v>
      </c>
      <c r="D164" s="4">
        <v>544.40250700000001</v>
      </c>
      <c r="F164" s="4">
        <v>-8.8895765171035368E-3</v>
      </c>
      <c r="G164" s="4">
        <v>-1.0353341696113127E-2</v>
      </c>
      <c r="H164" s="4">
        <v>-1.0353341696113127E-2</v>
      </c>
    </row>
    <row r="165" spans="1:8" x14ac:dyDescent="0.25">
      <c r="A165" s="8">
        <v>41663</v>
      </c>
      <c r="B165" s="4">
        <v>1790.290039</v>
      </c>
      <c r="C165" s="4">
        <v>41.866630000000001</v>
      </c>
      <c r="D165" s="4">
        <v>536.51246100000003</v>
      </c>
      <c r="F165" s="4">
        <v>-2.0875448636635485E-2</v>
      </c>
      <c r="G165" s="4">
        <v>-2.2515404559787511E-2</v>
      </c>
      <c r="H165" s="4">
        <v>-2.2515404559787511E-2</v>
      </c>
    </row>
    <row r="166" spans="1:8" x14ac:dyDescent="0.25">
      <c r="A166" s="8">
        <v>41666</v>
      </c>
      <c r="B166" s="4">
        <v>1781.5600589999999</v>
      </c>
      <c r="C166" s="4">
        <v>41.691293000000002</v>
      </c>
      <c r="D166" s="4">
        <v>535.03244900000004</v>
      </c>
      <c r="F166" s="4">
        <v>-4.8762936785797795E-3</v>
      </c>
      <c r="G166" s="4">
        <v>-4.1879893366147947E-3</v>
      </c>
      <c r="H166" s="4">
        <v>-4.1879893366147947E-3</v>
      </c>
    </row>
    <row r="167" spans="1:8" x14ac:dyDescent="0.25">
      <c r="A167" s="8">
        <v>41667</v>
      </c>
      <c r="B167" s="4">
        <v>1792.5</v>
      </c>
      <c r="C167" s="4">
        <v>42.061450000000001</v>
      </c>
      <c r="D167" s="4">
        <v>536.99241500000005</v>
      </c>
      <c r="F167" s="4">
        <v>6.1406523707883132E-3</v>
      </c>
      <c r="G167" s="4">
        <v>8.8785205102657194E-3</v>
      </c>
      <c r="H167" s="4">
        <v>8.8785205102657194E-3</v>
      </c>
    </row>
    <row r="168" spans="1:8" x14ac:dyDescent="0.25">
      <c r="A168" s="8">
        <v>41668</v>
      </c>
      <c r="B168" s="4">
        <v>1774.1999510000001</v>
      </c>
      <c r="C168" s="4">
        <v>41.671810000000001</v>
      </c>
      <c r="D168" s="4">
        <v>534.83243800000002</v>
      </c>
      <c r="F168" s="4">
        <v>-1.0209232357043185E-2</v>
      </c>
      <c r="G168" s="4">
        <v>-9.2635893436864292E-3</v>
      </c>
      <c r="H168" s="4">
        <v>-9.2635893436864292E-3</v>
      </c>
    </row>
    <row r="169" spans="1:8" x14ac:dyDescent="0.25">
      <c r="A169" s="8">
        <v>41669</v>
      </c>
      <c r="B169" s="4">
        <v>1794.1899410000001</v>
      </c>
      <c r="C169" s="4">
        <v>42.149118999999999</v>
      </c>
      <c r="D169" s="4">
        <v>537.50241900000003</v>
      </c>
      <c r="F169" s="4">
        <v>1.1267044612831345E-2</v>
      </c>
      <c r="G169" s="4">
        <v>1.1454002117978535E-2</v>
      </c>
      <c r="H169" s="4">
        <v>1.1454002117978535E-2</v>
      </c>
    </row>
    <row r="170" spans="1:8" x14ac:dyDescent="0.25">
      <c r="A170" s="8">
        <v>41670</v>
      </c>
      <c r="B170" s="4">
        <v>1782.589966</v>
      </c>
      <c r="C170" s="4">
        <v>41.915334000000001</v>
      </c>
      <c r="D170" s="4">
        <v>539.272471</v>
      </c>
      <c r="F170" s="4">
        <v>-6.4652993169356243E-3</v>
      </c>
      <c r="G170" s="4">
        <v>-5.5466165259586697E-3</v>
      </c>
      <c r="H170" s="4">
        <v>-5.5466165259586697E-3</v>
      </c>
    </row>
    <row r="171" spans="1:8" x14ac:dyDescent="0.25">
      <c r="A171" s="8">
        <v>41673</v>
      </c>
      <c r="B171" s="4">
        <v>1741.8900149999999</v>
      </c>
      <c r="C171" s="4">
        <v>40.902278000000003</v>
      </c>
      <c r="D171" s="4">
        <v>541.08248900000001</v>
      </c>
      <c r="F171" s="4">
        <v>-2.2831919721464478E-2</v>
      </c>
      <c r="G171" s="4">
        <v>-2.4169102410110832E-2</v>
      </c>
      <c r="H171" s="4">
        <v>-2.4169102410110832E-2</v>
      </c>
    </row>
    <row r="172" spans="1:8" x14ac:dyDescent="0.25">
      <c r="A172" s="8">
        <v>41674</v>
      </c>
      <c r="B172" s="4">
        <v>1755.1999510000001</v>
      </c>
      <c r="C172" s="4">
        <v>41.252949000000001</v>
      </c>
      <c r="D172" s="4">
        <v>540.37241200000005</v>
      </c>
      <c r="F172" s="4">
        <v>7.6410886367013209E-3</v>
      </c>
      <c r="G172" s="4">
        <v>8.5733855703586936E-3</v>
      </c>
      <c r="H172" s="4">
        <v>8.5733855703586936E-3</v>
      </c>
    </row>
    <row r="173" spans="1:8" x14ac:dyDescent="0.25">
      <c r="A173" s="8">
        <v>41675</v>
      </c>
      <c r="B173" s="4">
        <v>1751.6400149999999</v>
      </c>
      <c r="C173" s="4">
        <v>41.165280000000003</v>
      </c>
      <c r="D173" s="4">
        <v>541.83247100000006</v>
      </c>
      <c r="F173" s="4">
        <v>-2.0282224814169858E-3</v>
      </c>
      <c r="G173" s="4">
        <v>-2.125157161491642E-3</v>
      </c>
      <c r="H173" s="4">
        <v>-2.125157161491642E-3</v>
      </c>
    </row>
    <row r="174" spans="1:8" x14ac:dyDescent="0.25">
      <c r="A174" s="8">
        <v>41676</v>
      </c>
      <c r="B174" s="4">
        <v>1773.4300539999999</v>
      </c>
      <c r="C174" s="4">
        <v>41.739997000000002</v>
      </c>
      <c r="D174" s="4">
        <v>533.80239099999994</v>
      </c>
      <c r="F174" s="4">
        <v>1.2439792887467327E-2</v>
      </c>
      <c r="G174" s="4">
        <v>1.3961207114344898E-2</v>
      </c>
      <c r="H174" s="4">
        <v>1.3961207114344898E-2</v>
      </c>
    </row>
    <row r="175" spans="1:8" x14ac:dyDescent="0.25">
      <c r="A175" s="8">
        <v>41677</v>
      </c>
      <c r="B175" s="4">
        <v>1797.0200199999999</v>
      </c>
      <c r="C175" s="4">
        <v>42.266008999999997</v>
      </c>
      <c r="D175" s="4">
        <v>533.75238899999999</v>
      </c>
      <c r="F175" s="4">
        <v>1.3301886898100301E-2</v>
      </c>
      <c r="G175" s="4">
        <v>1.2602109195168243E-2</v>
      </c>
      <c r="H175" s="4">
        <v>1.2602109195168243E-2</v>
      </c>
    </row>
    <row r="176" spans="1:8" x14ac:dyDescent="0.25">
      <c r="A176" s="8">
        <v>41680</v>
      </c>
      <c r="B176" s="4">
        <v>1799.839966</v>
      </c>
      <c r="C176" s="4">
        <v>42.334195999999999</v>
      </c>
      <c r="D176" s="4">
        <v>531.32238400000006</v>
      </c>
      <c r="F176" s="4">
        <v>1.5692346042979199E-3</v>
      </c>
      <c r="G176" s="4">
        <v>1.6132822003611658E-3</v>
      </c>
      <c r="H176" s="4">
        <v>1.6132822003611658E-3</v>
      </c>
    </row>
    <row r="177" spans="1:8" x14ac:dyDescent="0.25">
      <c r="A177" s="8">
        <v>41681</v>
      </c>
      <c r="B177" s="4">
        <v>1819.75</v>
      </c>
      <c r="C177" s="4">
        <v>42.762799999999999</v>
      </c>
      <c r="D177" s="4">
        <v>537.31244500000003</v>
      </c>
      <c r="F177" s="4">
        <v>1.1062113507929405E-2</v>
      </c>
      <c r="G177" s="4">
        <v>1.012429762454925E-2</v>
      </c>
      <c r="H177" s="4">
        <v>1.012429762454925E-2</v>
      </c>
    </row>
    <row r="178" spans="1:8" x14ac:dyDescent="0.25">
      <c r="A178" s="8">
        <v>41682</v>
      </c>
      <c r="B178" s="4">
        <v>1819.26001</v>
      </c>
      <c r="C178" s="4">
        <v>42.821244</v>
      </c>
      <c r="D178" s="4">
        <v>525.26236900000004</v>
      </c>
      <c r="F178" s="4">
        <v>-2.6926226129964093E-4</v>
      </c>
      <c r="G178" s="4">
        <v>1.3667018997820524E-3</v>
      </c>
      <c r="H178" s="4">
        <v>1.3667018997820524E-3</v>
      </c>
    </row>
    <row r="179" spans="1:8" x14ac:dyDescent="0.25">
      <c r="A179" s="8">
        <v>41683</v>
      </c>
      <c r="B179" s="4">
        <v>1829.829956</v>
      </c>
      <c r="C179" s="4">
        <v>43.103732000000001</v>
      </c>
      <c r="D179" s="4">
        <v>526.98235699999998</v>
      </c>
      <c r="F179" s="4">
        <v>5.8100249232653223E-3</v>
      </c>
      <c r="G179" s="4">
        <v>6.596912504456931E-3</v>
      </c>
      <c r="H179" s="4">
        <v>6.596912504456931E-3</v>
      </c>
    </row>
    <row r="180" spans="1:8" x14ac:dyDescent="0.25">
      <c r="A180" s="8">
        <v>41684</v>
      </c>
      <c r="B180" s="4">
        <v>1838.630005</v>
      </c>
      <c r="C180" s="4">
        <v>43.298552000000001</v>
      </c>
      <c r="D180" s="4">
        <v>533.37243999999998</v>
      </c>
      <c r="F180" s="4">
        <v>4.809216818833173E-3</v>
      </c>
      <c r="G180" s="4">
        <v>4.5197942489063614E-3</v>
      </c>
      <c r="H180" s="4">
        <v>4.5197942489063614E-3</v>
      </c>
    </row>
    <row r="181" spans="1:8" x14ac:dyDescent="0.25">
      <c r="A181" s="8">
        <v>41688</v>
      </c>
      <c r="B181" s="4">
        <v>1840.76001</v>
      </c>
      <c r="C181" s="4">
        <v>43.464146999999997</v>
      </c>
      <c r="D181" s="4">
        <v>526.06235300000003</v>
      </c>
      <c r="F181" s="4">
        <v>1.15847396931823E-3</v>
      </c>
      <c r="G181" s="4">
        <v>3.8244927913524407E-3</v>
      </c>
      <c r="H181" s="4">
        <v>3.8244927913524407E-3</v>
      </c>
    </row>
    <row r="182" spans="1:8" x14ac:dyDescent="0.25">
      <c r="A182" s="8">
        <v>41689</v>
      </c>
      <c r="B182" s="4">
        <v>1828.75</v>
      </c>
      <c r="C182" s="4">
        <v>43.269326999999997</v>
      </c>
      <c r="D182" s="4">
        <v>528.34240999999997</v>
      </c>
      <c r="F182" s="4">
        <v>-6.5244844166295612E-3</v>
      </c>
      <c r="G182" s="4">
        <v>-4.4823150446274829E-3</v>
      </c>
      <c r="H182" s="4">
        <v>-4.4823150446274829E-3</v>
      </c>
    </row>
    <row r="183" spans="1:8" x14ac:dyDescent="0.25">
      <c r="A183" s="8">
        <v>41690</v>
      </c>
      <c r="B183" s="4">
        <v>1839.780029</v>
      </c>
      <c r="C183" s="4">
        <v>43.581040999999999</v>
      </c>
      <c r="D183" s="4">
        <v>518.66229799999996</v>
      </c>
      <c r="F183" s="4">
        <v>6.0314580997948841E-3</v>
      </c>
      <c r="G183" s="4">
        <v>7.204040867102135E-3</v>
      </c>
      <c r="H183" s="4">
        <v>7.204040867102135E-3</v>
      </c>
    </row>
    <row r="184" spans="1:8" x14ac:dyDescent="0.25">
      <c r="A184" s="8">
        <v>41691</v>
      </c>
      <c r="B184" s="4">
        <v>1836.25</v>
      </c>
      <c r="C184" s="4">
        <v>43.581040999999999</v>
      </c>
      <c r="D184" s="4">
        <v>513.80228999999997</v>
      </c>
      <c r="F184" s="4">
        <v>-1.9187234040792811E-3</v>
      </c>
      <c r="G184" s="4">
        <v>0</v>
      </c>
      <c r="H184" s="4">
        <v>0</v>
      </c>
    </row>
    <row r="185" spans="1:8" x14ac:dyDescent="0.25">
      <c r="A185" s="8">
        <v>41694</v>
      </c>
      <c r="B185" s="4">
        <v>1847.6099850000001</v>
      </c>
      <c r="C185" s="4">
        <v>43.844042999999999</v>
      </c>
      <c r="D185" s="4">
        <v>495.39227299999999</v>
      </c>
      <c r="F185" s="4">
        <v>6.1865132743363915E-3</v>
      </c>
      <c r="G185" s="4">
        <v>6.0347801237699006E-3</v>
      </c>
      <c r="H185" s="4">
        <v>6.0347801237699006E-3</v>
      </c>
    </row>
    <row r="186" spans="1:8" x14ac:dyDescent="0.25">
      <c r="A186" s="8">
        <v>41695</v>
      </c>
      <c r="B186" s="4">
        <v>1845.119995</v>
      </c>
      <c r="C186" s="4">
        <v>43.805081999999999</v>
      </c>
      <c r="D186" s="4">
        <v>504.89229499999999</v>
      </c>
      <c r="F186" s="4">
        <v>-1.3476816104130984E-3</v>
      </c>
      <c r="G186" s="4">
        <v>-8.8862699090042074E-4</v>
      </c>
      <c r="H186" s="4">
        <v>-8.8862699090042074E-4</v>
      </c>
    </row>
    <row r="187" spans="1:8" x14ac:dyDescent="0.25">
      <c r="A187" s="8">
        <v>41696</v>
      </c>
      <c r="B187" s="4">
        <v>1845.160034</v>
      </c>
      <c r="C187" s="4">
        <v>43.853785999999999</v>
      </c>
      <c r="D187" s="4">
        <v>511.10231900000002</v>
      </c>
      <c r="F187" s="4">
        <v>2.1699943693942458E-5</v>
      </c>
      <c r="G187" s="4">
        <v>1.1118344670602021E-3</v>
      </c>
      <c r="H187" s="4">
        <v>1.1118344670602021E-3</v>
      </c>
    </row>
    <row r="188" spans="1:8" x14ac:dyDescent="0.25">
      <c r="A188" s="8">
        <v>41697</v>
      </c>
      <c r="B188" s="4">
        <v>1854.290039</v>
      </c>
      <c r="C188" s="4">
        <v>44.038862999999999</v>
      </c>
      <c r="D188" s="4">
        <v>516.35231299999998</v>
      </c>
      <c r="F188" s="4">
        <v>4.94808300188887E-3</v>
      </c>
      <c r="G188" s="4">
        <v>4.2203197689705263E-3</v>
      </c>
      <c r="H188" s="4">
        <v>4.2203197689705263E-3</v>
      </c>
    </row>
    <row r="189" spans="1:8" x14ac:dyDescent="0.25">
      <c r="A189" s="8">
        <v>41698</v>
      </c>
      <c r="B189" s="4">
        <v>1859.4499510000001</v>
      </c>
      <c r="C189" s="4">
        <v>44.155757000000001</v>
      </c>
      <c r="D189" s="4">
        <v>524.87238300000001</v>
      </c>
      <c r="F189" s="4">
        <v>2.7826887334101436E-3</v>
      </c>
      <c r="G189" s="4">
        <v>2.65433737469567E-3</v>
      </c>
      <c r="H189" s="4">
        <v>2.65433737469567E-3</v>
      </c>
    </row>
    <row r="190" spans="1:8" x14ac:dyDescent="0.25">
      <c r="A190" s="8">
        <v>41701</v>
      </c>
      <c r="B190" s="4">
        <v>1845.7299800000001</v>
      </c>
      <c r="C190" s="4">
        <v>43.853785999999999</v>
      </c>
      <c r="D190" s="4">
        <v>530.59241599999996</v>
      </c>
      <c r="F190" s="4">
        <v>-7.3785105066267453E-3</v>
      </c>
      <c r="G190" s="4">
        <v>-6.8387684985221631E-3</v>
      </c>
      <c r="H190" s="4">
        <v>-6.8387684985221631E-3</v>
      </c>
    </row>
    <row r="191" spans="1:8" x14ac:dyDescent="0.25">
      <c r="A191" s="8">
        <v>41702</v>
      </c>
      <c r="B191" s="4">
        <v>1873.910034</v>
      </c>
      <c r="C191" s="4">
        <v>44.506428999999997</v>
      </c>
      <c r="D191" s="4">
        <v>528.77242200000001</v>
      </c>
      <c r="F191" s="4">
        <v>1.5267701291821645E-2</v>
      </c>
      <c r="G191" s="4">
        <v>1.4882249847253837E-2</v>
      </c>
      <c r="H191" s="4">
        <v>1.4882249847253837E-2</v>
      </c>
    </row>
    <row r="192" spans="1:8" x14ac:dyDescent="0.25">
      <c r="A192" s="8">
        <v>41703</v>
      </c>
      <c r="B192" s="4">
        <v>1873.8100589999999</v>
      </c>
      <c r="C192" s="4">
        <v>44.486946000000003</v>
      </c>
      <c r="D192" s="4">
        <v>534.03245400000003</v>
      </c>
      <c r="F192" s="4">
        <v>-5.3351013755253973E-5</v>
      </c>
      <c r="G192" s="4">
        <v>-4.3775698113168726E-4</v>
      </c>
      <c r="H192" s="4">
        <v>-4.3775698113168726E-4</v>
      </c>
    </row>
    <row r="193" spans="1:8" x14ac:dyDescent="0.25">
      <c r="A193" s="8">
        <v>41704</v>
      </c>
      <c r="B193" s="4">
        <v>1877.030029</v>
      </c>
      <c r="C193" s="4">
        <v>44.574615000000001</v>
      </c>
      <c r="D193" s="4">
        <v>530.33242600000005</v>
      </c>
      <c r="F193" s="4">
        <v>1.7184078954717297E-3</v>
      </c>
      <c r="G193" s="4">
        <v>1.9706679797708571E-3</v>
      </c>
      <c r="H193" s="4">
        <v>1.9706679797708571E-3</v>
      </c>
    </row>
    <row r="194" spans="1:8" x14ac:dyDescent="0.25">
      <c r="A194" s="8">
        <v>41705</v>
      </c>
      <c r="B194" s="4">
        <v>1878.040039</v>
      </c>
      <c r="C194" s="4">
        <v>44.594096999999998</v>
      </c>
      <c r="D194" s="4">
        <v>530.42239400000005</v>
      </c>
      <c r="F194" s="4">
        <v>5.3808942019850647E-4</v>
      </c>
      <c r="G194" s="4">
        <v>4.37064907907736E-4</v>
      </c>
      <c r="H194" s="4">
        <v>4.37064907907736E-4</v>
      </c>
    </row>
    <row r="195" spans="1:8" x14ac:dyDescent="0.25">
      <c r="A195" s="8">
        <v>41708</v>
      </c>
      <c r="B195" s="4">
        <v>1877.170044</v>
      </c>
      <c r="C195" s="4">
        <v>44.486946000000003</v>
      </c>
      <c r="D195" s="4">
        <v>526.40239699999995</v>
      </c>
      <c r="F195" s="4">
        <v>-4.6324624711580054E-4</v>
      </c>
      <c r="G195" s="4">
        <v>-2.4028068109551715E-3</v>
      </c>
      <c r="H195" s="4">
        <v>-2.4028068109551715E-3</v>
      </c>
    </row>
    <row r="196" spans="1:8" x14ac:dyDescent="0.25">
      <c r="A196" s="8">
        <v>41709</v>
      </c>
      <c r="B196" s="4">
        <v>1867.630005</v>
      </c>
      <c r="C196" s="4">
        <v>44.253165000000003</v>
      </c>
      <c r="D196" s="4">
        <v>524.81240400000002</v>
      </c>
      <c r="F196" s="4">
        <v>-5.0821389519254412E-3</v>
      </c>
      <c r="G196" s="4">
        <v>-5.2550471772101481E-3</v>
      </c>
      <c r="H196" s="4">
        <v>-5.2550471772101481E-3</v>
      </c>
    </row>
    <row r="197" spans="1:8" x14ac:dyDescent="0.25">
      <c r="A197" s="8">
        <v>41710</v>
      </c>
      <c r="B197" s="4">
        <v>1868.1999510000001</v>
      </c>
      <c r="C197" s="4">
        <v>44.282387</v>
      </c>
      <c r="D197" s="4">
        <v>513.87230599999998</v>
      </c>
      <c r="F197" s="4">
        <v>3.0517072357705288E-4</v>
      </c>
      <c r="G197" s="4">
        <v>6.6033694991074476E-4</v>
      </c>
      <c r="H197" s="4">
        <v>6.6033694991074476E-4</v>
      </c>
    </row>
    <row r="198" spans="1:8" x14ac:dyDescent="0.25">
      <c r="A198" s="8">
        <v>41711</v>
      </c>
      <c r="B198" s="4">
        <v>1846.339966</v>
      </c>
      <c r="C198" s="4">
        <v>43.766117999999999</v>
      </c>
      <c r="D198" s="4">
        <v>501.96226200000001</v>
      </c>
      <c r="F198" s="4">
        <v>-1.1701094943450174E-2</v>
      </c>
      <c r="G198" s="4">
        <v>-1.1658563030940483E-2</v>
      </c>
      <c r="H198" s="4">
        <v>-1.1658563030940483E-2</v>
      </c>
    </row>
    <row r="199" spans="1:8" x14ac:dyDescent="0.25">
      <c r="A199" s="8">
        <v>41712</v>
      </c>
      <c r="B199" s="4">
        <v>1841.130005</v>
      </c>
      <c r="C199" s="4">
        <v>43.766117999999999</v>
      </c>
      <c r="D199" s="4">
        <v>501.10226799999998</v>
      </c>
      <c r="F199" s="4">
        <v>-2.8217777310465264E-3</v>
      </c>
      <c r="G199" s="4">
        <v>0</v>
      </c>
      <c r="H199" s="4">
        <v>0</v>
      </c>
    </row>
    <row r="200" spans="1:8" x14ac:dyDescent="0.25">
      <c r="A200" s="8">
        <v>41715</v>
      </c>
      <c r="B200" s="4">
        <v>1858.829956</v>
      </c>
      <c r="C200" s="4">
        <v>44.126531999999997</v>
      </c>
      <c r="D200" s="4">
        <v>502.682255</v>
      </c>
      <c r="F200" s="4">
        <v>9.6136345352755281E-3</v>
      </c>
      <c r="G200" s="4">
        <v>8.23500041744607E-3</v>
      </c>
      <c r="H200" s="4">
        <v>8.23500041744607E-3</v>
      </c>
    </row>
    <row r="201" spans="1:8" x14ac:dyDescent="0.25">
      <c r="A201" s="8">
        <v>41716</v>
      </c>
      <c r="B201" s="4">
        <v>1872.25</v>
      </c>
      <c r="C201" s="4">
        <v>44.447985000000003</v>
      </c>
      <c r="D201" s="4">
        <v>496.17227400000002</v>
      </c>
      <c r="F201" s="4">
        <v>7.2196189633604302E-3</v>
      </c>
      <c r="G201" s="4">
        <v>7.2848008993773306E-3</v>
      </c>
      <c r="H201" s="4">
        <v>7.2848008993773306E-3</v>
      </c>
    </row>
    <row r="202" spans="1:8" x14ac:dyDescent="0.25">
      <c r="A202" s="8">
        <v>41717</v>
      </c>
      <c r="B202" s="4">
        <v>1860.7700199999999</v>
      </c>
      <c r="C202" s="4">
        <v>44.194718000000002</v>
      </c>
      <c r="D202" s="4">
        <v>492.552209</v>
      </c>
      <c r="F202" s="4">
        <v>-6.1316490853251526E-3</v>
      </c>
      <c r="G202" s="4">
        <v>-5.6980535788068165E-3</v>
      </c>
      <c r="H202" s="4">
        <v>-5.6980535788068165E-3</v>
      </c>
    </row>
    <row r="203" spans="1:8" x14ac:dyDescent="0.25">
      <c r="A203" s="8">
        <v>41718</v>
      </c>
      <c r="B203" s="4">
        <v>1872.01001</v>
      </c>
      <c r="C203" s="4">
        <v>44.399281000000002</v>
      </c>
      <c r="D203" s="4">
        <v>496.18225100000001</v>
      </c>
      <c r="F203" s="4">
        <v>6.0405046723615019E-3</v>
      </c>
      <c r="G203" s="4">
        <v>4.6286753091173694E-3</v>
      </c>
      <c r="H203" s="4">
        <v>4.6286753091173694E-3</v>
      </c>
    </row>
    <row r="204" spans="1:8" x14ac:dyDescent="0.25">
      <c r="A204" s="8">
        <v>41719</v>
      </c>
      <c r="B204" s="4">
        <v>1866.5200199999999</v>
      </c>
      <c r="C204" s="4">
        <v>44.321351999999997</v>
      </c>
      <c r="D204" s="4">
        <v>500.87226700000002</v>
      </c>
      <c r="F204" s="4">
        <v>-2.9326712841669655E-3</v>
      </c>
      <c r="G204" s="4">
        <v>-1.7551860806035435E-3</v>
      </c>
      <c r="H204" s="4">
        <v>-1.7551860806035435E-3</v>
      </c>
    </row>
    <row r="205" spans="1:8" x14ac:dyDescent="0.25">
      <c r="A205" s="8">
        <v>41722</v>
      </c>
      <c r="B205" s="4">
        <v>1857.4399410000001</v>
      </c>
      <c r="C205" s="4">
        <v>44.029124000000003</v>
      </c>
      <c r="D205" s="4">
        <v>501.79227100000003</v>
      </c>
      <c r="F205" s="4">
        <v>-4.864710210823131E-3</v>
      </c>
      <c r="G205" s="4">
        <v>-6.5933909236342014E-3</v>
      </c>
      <c r="H205" s="4">
        <v>-6.5933909236342014E-3</v>
      </c>
    </row>
    <row r="206" spans="1:8" x14ac:dyDescent="0.25">
      <c r="A206" s="8">
        <v>41723</v>
      </c>
      <c r="B206" s="4">
        <v>1865.619995</v>
      </c>
      <c r="C206" s="4">
        <v>44.155757000000001</v>
      </c>
      <c r="D206" s="4">
        <v>508.08228800000001</v>
      </c>
      <c r="F206" s="4">
        <v>4.4039399710529281E-3</v>
      </c>
      <c r="G206" s="4">
        <v>2.8761189979613633E-3</v>
      </c>
      <c r="H206" s="4">
        <v>2.8761189979613633E-3</v>
      </c>
    </row>
    <row r="207" spans="1:8" x14ac:dyDescent="0.25">
      <c r="A207" s="8">
        <v>41724</v>
      </c>
      <c r="B207" s="4">
        <v>1852.5600589999999</v>
      </c>
      <c r="C207" s="4">
        <v>43.814821999999999</v>
      </c>
      <c r="D207" s="4">
        <v>506.90229399999998</v>
      </c>
      <c r="F207" s="4">
        <v>-7.0003194836042448E-3</v>
      </c>
      <c r="G207" s="4">
        <v>-7.7211902402669619E-3</v>
      </c>
      <c r="H207" s="4">
        <v>-7.7211902402669619E-3</v>
      </c>
    </row>
    <row r="208" spans="1:8" x14ac:dyDescent="0.25">
      <c r="A208" s="8">
        <v>41725</v>
      </c>
      <c r="B208" s="4">
        <v>1849.040039</v>
      </c>
      <c r="C208" s="4">
        <v>43.756374000000001</v>
      </c>
      <c r="D208" s="4">
        <v>518.04231200000004</v>
      </c>
      <c r="F208" s="4">
        <v>-1.9000841472853747E-3</v>
      </c>
      <c r="G208" s="4">
        <v>-1.3339778032191996E-3</v>
      </c>
      <c r="H208" s="4">
        <v>-1.3339778032191996E-3</v>
      </c>
    </row>
    <row r="209" spans="1:8" x14ac:dyDescent="0.25">
      <c r="A209" s="8">
        <v>41726</v>
      </c>
      <c r="B209" s="4">
        <v>1857.619995</v>
      </c>
      <c r="C209" s="4">
        <v>44.038862999999999</v>
      </c>
      <c r="D209" s="4">
        <v>534.39245000000005</v>
      </c>
      <c r="F209" s="4">
        <v>4.6402218551417906E-3</v>
      </c>
      <c r="G209" s="4">
        <v>6.4559508518688968E-3</v>
      </c>
      <c r="H209" s="4">
        <v>6.4559508518688968E-3</v>
      </c>
    </row>
    <row r="210" spans="1:8" x14ac:dyDescent="0.25">
      <c r="A210" s="8">
        <v>41729</v>
      </c>
      <c r="B210" s="4">
        <v>1872.339966</v>
      </c>
      <c r="C210" s="4">
        <v>44.438242000000002</v>
      </c>
      <c r="D210" s="4">
        <v>539.95243700000003</v>
      </c>
      <c r="F210" s="4">
        <v>7.9241023673413125E-3</v>
      </c>
      <c r="G210" s="4">
        <v>9.0687854497970566E-3</v>
      </c>
      <c r="H210" s="4">
        <v>9.0687854497970566E-3</v>
      </c>
    </row>
    <row r="211" spans="1:8" x14ac:dyDescent="0.25">
      <c r="A211" s="8">
        <v>41730</v>
      </c>
      <c r="B211" s="4">
        <v>1885.5200199999999</v>
      </c>
      <c r="C211" s="4">
        <v>44.788916999999998</v>
      </c>
      <c r="D211" s="4">
        <v>535.21244799999999</v>
      </c>
      <c r="F211" s="4">
        <v>7.0393487504074592E-3</v>
      </c>
      <c r="G211" s="4">
        <v>7.8912887688040723E-3</v>
      </c>
      <c r="H211" s="4">
        <v>7.8912887688040723E-3</v>
      </c>
    </row>
    <row r="212" spans="1:8" x14ac:dyDescent="0.25">
      <c r="A212" s="8">
        <v>41731</v>
      </c>
      <c r="B212" s="4">
        <v>1890.900024</v>
      </c>
      <c r="C212" s="4">
        <v>44.964255000000001</v>
      </c>
      <c r="D212" s="4">
        <v>518.63237000000004</v>
      </c>
      <c r="F212" s="4">
        <v>2.8533263730607938E-3</v>
      </c>
      <c r="G212" s="4">
        <v>3.9147631098113145E-3</v>
      </c>
      <c r="H212" s="4">
        <v>3.9147631098113145E-3</v>
      </c>
    </row>
    <row r="213" spans="1:8" x14ac:dyDescent="0.25">
      <c r="A213" s="8">
        <v>41732</v>
      </c>
      <c r="B213" s="4">
        <v>1888.7700199999999</v>
      </c>
      <c r="C213" s="4">
        <v>44.915551000000001</v>
      </c>
      <c r="D213" s="4">
        <v>510.002318</v>
      </c>
      <c r="F213" s="4">
        <v>-1.1264498244039078E-3</v>
      </c>
      <c r="G213" s="4">
        <v>-1.0831715103475359E-3</v>
      </c>
      <c r="H213" s="4">
        <v>-1.0831715103475359E-3</v>
      </c>
    </row>
    <row r="214" spans="1:8" x14ac:dyDescent="0.25">
      <c r="A214" s="8">
        <v>41733</v>
      </c>
      <c r="B214" s="4">
        <v>1865.089966</v>
      </c>
      <c r="C214" s="4">
        <v>44.399281000000002</v>
      </c>
      <c r="D214" s="4">
        <v>510.66233099999999</v>
      </c>
      <c r="F214" s="4">
        <v>-1.2537288155389015E-2</v>
      </c>
      <c r="G214" s="4">
        <v>-1.1494237263169671E-2</v>
      </c>
      <c r="H214" s="4">
        <v>-1.1494237263169671E-2</v>
      </c>
    </row>
    <row r="215" spans="1:8" x14ac:dyDescent="0.25">
      <c r="A215" s="8">
        <v>41736</v>
      </c>
      <c r="B215" s="4">
        <v>1845.040039</v>
      </c>
      <c r="C215" s="4">
        <v>43.814821999999999</v>
      </c>
      <c r="D215" s="4">
        <v>534.52244499999995</v>
      </c>
      <c r="F215" s="4">
        <v>-1.0750112522990185E-2</v>
      </c>
      <c r="G215" s="4">
        <v>-1.3163704159984135E-2</v>
      </c>
      <c r="H215" s="4">
        <v>-1.3163704159984135E-2</v>
      </c>
    </row>
    <row r="216" spans="1:8" x14ac:dyDescent="0.25">
      <c r="A216" s="8">
        <v>41737</v>
      </c>
      <c r="B216" s="4">
        <v>1851.959961</v>
      </c>
      <c r="C216" s="4">
        <v>44.048605999999999</v>
      </c>
      <c r="D216" s="4">
        <v>528.48238100000003</v>
      </c>
      <c r="F216" s="4">
        <v>3.7505538382520687E-3</v>
      </c>
      <c r="G216" s="4">
        <v>5.3357286262625259E-3</v>
      </c>
      <c r="H216" s="4">
        <v>5.3357286262625259E-3</v>
      </c>
    </row>
    <row r="217" spans="1:8" x14ac:dyDescent="0.25">
      <c r="A217" s="8">
        <v>41738</v>
      </c>
      <c r="B217" s="4">
        <v>1872.1800539999999</v>
      </c>
      <c r="C217" s="4">
        <v>44.467467999999997</v>
      </c>
      <c r="D217" s="4">
        <v>529.24239999999998</v>
      </c>
      <c r="F217" s="4">
        <v>1.091821282630856E-2</v>
      </c>
      <c r="G217" s="4">
        <v>9.5090863942435266E-3</v>
      </c>
      <c r="H217" s="4">
        <v>9.5090863942435266E-3</v>
      </c>
    </row>
    <row r="218" spans="1:8" x14ac:dyDescent="0.25">
      <c r="A218" s="8">
        <v>41739</v>
      </c>
      <c r="B218" s="4">
        <v>1833.079956</v>
      </c>
      <c r="C218" s="4">
        <v>43.551814999999998</v>
      </c>
      <c r="D218" s="4">
        <v>522.76234899999997</v>
      </c>
      <c r="F218" s="4">
        <v>-2.0884795731297645E-2</v>
      </c>
      <c r="G218" s="4">
        <v>-2.0591525472059669E-2</v>
      </c>
      <c r="H218" s="4">
        <v>-2.0591525472059669E-2</v>
      </c>
    </row>
    <row r="219" spans="1:8" x14ac:dyDescent="0.25">
      <c r="A219" s="8">
        <v>41740</v>
      </c>
      <c r="B219" s="4">
        <v>1815.6899410000001</v>
      </c>
      <c r="C219" s="4">
        <v>43.064767000000003</v>
      </c>
      <c r="D219" s="4">
        <v>527.58239100000003</v>
      </c>
      <c r="F219" s="4">
        <v>-9.4867738546151603E-3</v>
      </c>
      <c r="G219" s="4">
        <v>-1.1183184902856413E-2</v>
      </c>
      <c r="H219" s="4">
        <v>-1.1183184902856413E-2</v>
      </c>
    </row>
    <row r="220" spans="1:8" x14ac:dyDescent="0.25">
      <c r="A220" s="8">
        <v>41743</v>
      </c>
      <c r="B220" s="4">
        <v>1830.6099850000001</v>
      </c>
      <c r="C220" s="4">
        <v>43.434925</v>
      </c>
      <c r="D220" s="4">
        <v>531.00241500000004</v>
      </c>
      <c r="F220" s="4">
        <v>8.2172862574667604E-3</v>
      </c>
      <c r="G220" s="4">
        <v>8.5953791413755365E-3</v>
      </c>
      <c r="H220" s="4">
        <v>8.5953791413755365E-3</v>
      </c>
    </row>
    <row r="221" spans="1:8" x14ac:dyDescent="0.25">
      <c r="A221" s="8">
        <v>41744</v>
      </c>
      <c r="B221" s="4">
        <v>1842.9799800000001</v>
      </c>
      <c r="C221" s="4">
        <v>43.70767</v>
      </c>
      <c r="D221" s="4">
        <v>527.83240599999999</v>
      </c>
      <c r="F221" s="4">
        <v>6.757307728767703E-3</v>
      </c>
      <c r="G221" s="4">
        <v>6.2793938288139284E-3</v>
      </c>
      <c r="H221" s="4">
        <v>6.2793938288139284E-3</v>
      </c>
    </row>
    <row r="222" spans="1:8" x14ac:dyDescent="0.25">
      <c r="A222" s="8">
        <v>41745</v>
      </c>
      <c r="B222" s="4">
        <v>1862.3100589999999</v>
      </c>
      <c r="C222" s="4">
        <v>44.155757000000001</v>
      </c>
      <c r="D222" s="4">
        <v>536.94241199999999</v>
      </c>
      <c r="F222" s="4">
        <v>1.0488491036131586E-2</v>
      </c>
      <c r="G222" s="4">
        <v>1.02519077315264E-2</v>
      </c>
      <c r="H222" s="4">
        <v>1.02519077315264E-2</v>
      </c>
    </row>
    <row r="223" spans="1:8" x14ac:dyDescent="0.25">
      <c r="A223" s="8">
        <v>41746</v>
      </c>
      <c r="B223" s="4">
        <v>1864.849976</v>
      </c>
      <c r="C223" s="4">
        <v>44.243422000000002</v>
      </c>
      <c r="D223" s="4">
        <v>535.97240499999998</v>
      </c>
      <c r="F223" s="4">
        <v>1.3638529136033029E-3</v>
      </c>
      <c r="G223" s="4">
        <v>1.9853583305116107E-3</v>
      </c>
      <c r="H223" s="4">
        <v>1.9853583305116107E-3</v>
      </c>
    </row>
    <row r="224" spans="1:8" x14ac:dyDescent="0.25">
      <c r="A224" s="8">
        <v>41750</v>
      </c>
      <c r="B224" s="4">
        <v>1871.8900149999999</v>
      </c>
      <c r="C224" s="4">
        <v>44.350572999999997</v>
      </c>
      <c r="D224" s="4">
        <v>542.93247199999996</v>
      </c>
      <c r="F224" s="4">
        <v>3.7751235169600772E-3</v>
      </c>
      <c r="G224" s="4">
        <v>2.4218515466547519E-3</v>
      </c>
      <c r="H224" s="4">
        <v>2.4218515466547519E-3</v>
      </c>
    </row>
    <row r="225" spans="1:8" x14ac:dyDescent="0.25">
      <c r="A225" s="8">
        <v>41751</v>
      </c>
      <c r="B225" s="4">
        <v>1879.5500489999999</v>
      </c>
      <c r="C225" s="4">
        <v>44.564875999999998</v>
      </c>
      <c r="D225" s="4">
        <v>549.01250100000004</v>
      </c>
      <c r="F225" s="4">
        <v>4.092138928365463E-3</v>
      </c>
      <c r="G225" s="4">
        <v>4.8320232525518314E-3</v>
      </c>
      <c r="H225" s="4">
        <v>4.8320232525518314E-3</v>
      </c>
    </row>
    <row r="226" spans="1:8" x14ac:dyDescent="0.25">
      <c r="A226" s="8">
        <v>41752</v>
      </c>
      <c r="B226" s="4">
        <v>1875.3900149999999</v>
      </c>
      <c r="C226" s="4">
        <v>44.506428999999997</v>
      </c>
      <c r="D226" s="4">
        <v>542.84250399999996</v>
      </c>
      <c r="F226" s="4">
        <v>-2.2133137674165138E-3</v>
      </c>
      <c r="G226" s="4">
        <v>-1.3115037052947587E-3</v>
      </c>
      <c r="H226" s="4">
        <v>-1.3115037052947587E-3</v>
      </c>
    </row>
    <row r="227" spans="1:8" x14ac:dyDescent="0.25">
      <c r="A227" s="8">
        <v>41753</v>
      </c>
      <c r="B227" s="4">
        <v>1878.6099850000001</v>
      </c>
      <c r="C227" s="4">
        <v>44.574615000000001</v>
      </c>
      <c r="D227" s="4">
        <v>539.70242199999996</v>
      </c>
      <c r="F227" s="4">
        <v>1.7169601918778366E-3</v>
      </c>
      <c r="G227" s="4">
        <v>1.5320483249734451E-3</v>
      </c>
      <c r="H227" s="4">
        <v>1.5320483249734451E-3</v>
      </c>
    </row>
    <row r="228" spans="1:8" x14ac:dyDescent="0.25">
      <c r="A228" s="8">
        <v>41754</v>
      </c>
      <c r="B228" s="4">
        <v>1863.400024</v>
      </c>
      <c r="C228" s="4">
        <v>44.165497000000002</v>
      </c>
      <c r="D228" s="4">
        <v>542.872432</v>
      </c>
      <c r="F228" s="4">
        <v>-8.0963910132735295E-3</v>
      </c>
      <c r="G228" s="4">
        <v>-9.1782733288890972E-3</v>
      </c>
      <c r="H228" s="4">
        <v>-9.1782733288890972E-3</v>
      </c>
    </row>
    <row r="229" spans="1:8" x14ac:dyDescent="0.25">
      <c r="A229" s="8">
        <v>41757</v>
      </c>
      <c r="B229" s="4">
        <v>1869.4300539999999</v>
      </c>
      <c r="C229" s="4">
        <v>44.175235999999998</v>
      </c>
      <c r="D229" s="4">
        <v>538.95244100000002</v>
      </c>
      <c r="F229" s="4">
        <v>3.2360362360925876E-3</v>
      </c>
      <c r="G229" s="4">
        <v>2.2051150018742582E-4</v>
      </c>
      <c r="H229" s="4">
        <v>2.2051150018742582E-4</v>
      </c>
    </row>
    <row r="230" spans="1:8" x14ac:dyDescent="0.25">
      <c r="A230" s="8">
        <v>41758</v>
      </c>
      <c r="B230" s="4">
        <v>1878.329956</v>
      </c>
      <c r="C230" s="4">
        <v>44.350572999999997</v>
      </c>
      <c r="D230" s="4">
        <v>531.91238099999998</v>
      </c>
      <c r="F230" s="4">
        <v>4.7607568846756987E-3</v>
      </c>
      <c r="G230" s="4">
        <v>3.9691242396531212E-3</v>
      </c>
      <c r="H230" s="4">
        <v>3.9691242396531212E-3</v>
      </c>
    </row>
    <row r="231" spans="1:8" x14ac:dyDescent="0.25">
      <c r="A231" s="8">
        <v>41759</v>
      </c>
      <c r="B231" s="4">
        <v>1883.9499510000001</v>
      </c>
      <c r="C231" s="4">
        <v>44.584358000000002</v>
      </c>
      <c r="D231" s="4">
        <v>536.09242400000005</v>
      </c>
      <c r="F231" s="4">
        <v>2.9920169148385245E-3</v>
      </c>
      <c r="G231" s="4">
        <v>5.2712960439091905E-3</v>
      </c>
      <c r="H231" s="4">
        <v>5.2712960439091905E-3</v>
      </c>
    </row>
    <row r="232" spans="1:8" x14ac:dyDescent="0.25">
      <c r="A232" s="8">
        <v>41760</v>
      </c>
      <c r="B232" s="4">
        <v>1883.6800539999999</v>
      </c>
      <c r="C232" s="4">
        <v>44.594096999999998</v>
      </c>
      <c r="D232" s="4">
        <v>543.87248899999997</v>
      </c>
      <c r="F232" s="4">
        <v>-1.4326123677377289E-4</v>
      </c>
      <c r="G232" s="4">
        <v>2.1843983937142042E-4</v>
      </c>
      <c r="H232" s="4">
        <v>2.1843983937142042E-4</v>
      </c>
    </row>
    <row r="233" spans="1:8" x14ac:dyDescent="0.25">
      <c r="A233" s="8">
        <v>41761</v>
      </c>
      <c r="B233" s="4">
        <v>1881.1400149999999</v>
      </c>
      <c r="C233" s="4">
        <v>44.584358000000002</v>
      </c>
      <c r="D233" s="4">
        <v>555.48251600000003</v>
      </c>
      <c r="F233" s="4">
        <v>-1.3484450263229197E-3</v>
      </c>
      <c r="G233" s="4">
        <v>-2.1839213382879308E-4</v>
      </c>
      <c r="H233" s="4">
        <v>-2.1839213382879308E-4</v>
      </c>
    </row>
    <row r="234" spans="1:8" x14ac:dyDescent="0.25">
      <c r="A234" s="8">
        <v>41764</v>
      </c>
      <c r="B234" s="4">
        <v>1884.660034</v>
      </c>
      <c r="C234" s="4">
        <v>44.633062000000002</v>
      </c>
      <c r="D234" s="4">
        <v>558.40257199999996</v>
      </c>
      <c r="F234" s="4">
        <v>1.8712158435478798E-3</v>
      </c>
      <c r="G234" s="4">
        <v>1.0924010613766466E-3</v>
      </c>
      <c r="H234" s="4">
        <v>1.0924010613766466E-3</v>
      </c>
    </row>
    <row r="235" spans="1:8" x14ac:dyDescent="0.25">
      <c r="A235" s="8">
        <v>41765</v>
      </c>
      <c r="B235" s="4">
        <v>1867.719971</v>
      </c>
      <c r="C235" s="4">
        <v>44.282387</v>
      </c>
      <c r="D235" s="4">
        <v>571.34260099999995</v>
      </c>
      <c r="F235" s="4">
        <v>-8.9883919085642638E-3</v>
      </c>
      <c r="G235" s="4">
        <v>-7.8568438795438844E-3</v>
      </c>
      <c r="H235" s="4">
        <v>-7.8568438795438844E-3</v>
      </c>
    </row>
    <row r="236" spans="1:8" x14ac:dyDescent="0.25">
      <c r="A236" s="8">
        <v>41766</v>
      </c>
      <c r="B236" s="4">
        <v>1878.209961</v>
      </c>
      <c r="C236" s="4">
        <v>44.545392999999997</v>
      </c>
      <c r="D236" s="4">
        <v>573.64260999999999</v>
      </c>
      <c r="F236" s="4">
        <v>5.6164682944326305E-3</v>
      </c>
      <c r="G236" s="4">
        <v>5.9392913936640035E-3</v>
      </c>
      <c r="H236" s="4">
        <v>5.9392913936640035E-3</v>
      </c>
    </row>
    <row r="237" spans="1:8" x14ac:dyDescent="0.25">
      <c r="A237" s="8">
        <v>41767</v>
      </c>
      <c r="B237" s="4">
        <v>1875.630005</v>
      </c>
      <c r="C237" s="4">
        <v>44.477207</v>
      </c>
      <c r="D237" s="4">
        <v>573.37258299999996</v>
      </c>
      <c r="F237" s="4">
        <v>-1.3736249160485325E-3</v>
      </c>
      <c r="G237" s="4">
        <v>-1.5307082373253733E-3</v>
      </c>
      <c r="H237" s="4">
        <v>-1.5307082373253733E-3</v>
      </c>
    </row>
    <row r="238" spans="1:8" x14ac:dyDescent="0.25">
      <c r="A238" s="8">
        <v>41768</v>
      </c>
      <c r="B238" s="4">
        <v>1878.4799800000001</v>
      </c>
      <c r="C238" s="4">
        <v>44.535654000000001</v>
      </c>
      <c r="D238" s="4">
        <v>575.33260900000005</v>
      </c>
      <c r="F238" s="4">
        <v>1.5194761186390071E-3</v>
      </c>
      <c r="G238" s="4">
        <v>1.3140888095783954E-3</v>
      </c>
      <c r="H238" s="4">
        <v>1.3140888095783954E-3</v>
      </c>
    </row>
    <row r="239" spans="1:8" x14ac:dyDescent="0.25">
      <c r="A239" s="8">
        <v>41771</v>
      </c>
      <c r="B239" s="4">
        <v>1896.650024</v>
      </c>
      <c r="C239" s="4">
        <v>45.032440999999999</v>
      </c>
      <c r="D239" s="4">
        <v>567.68755799999997</v>
      </c>
      <c r="F239" s="4">
        <v>9.6727376354577288E-3</v>
      </c>
      <c r="G239" s="4">
        <v>1.115481542047192E-2</v>
      </c>
      <c r="H239" s="4">
        <v>1.115481542047192E-2</v>
      </c>
    </row>
    <row r="240" spans="1:8" x14ac:dyDescent="0.25">
      <c r="A240" s="8">
        <v>41772</v>
      </c>
      <c r="B240" s="4">
        <v>1897.4499510000001</v>
      </c>
      <c r="C240" s="4">
        <v>45.012959000000002</v>
      </c>
      <c r="D240" s="4">
        <v>568.85255700000005</v>
      </c>
      <c r="F240" s="4">
        <v>4.2175783084807961E-4</v>
      </c>
      <c r="G240" s="4">
        <v>-4.3262145172184852E-4</v>
      </c>
      <c r="H240" s="4">
        <v>-4.3262145172184852E-4</v>
      </c>
    </row>
    <row r="241" spans="1:8" x14ac:dyDescent="0.25">
      <c r="A241" s="8">
        <v>41773</v>
      </c>
      <c r="B241" s="4">
        <v>1888.530029</v>
      </c>
      <c r="C241" s="4">
        <v>44.769435000000001</v>
      </c>
      <c r="D241" s="4">
        <v>555.01253799999995</v>
      </c>
      <c r="F241" s="4">
        <v>-4.7010051544701392E-3</v>
      </c>
      <c r="G241" s="4">
        <v>-5.4100864597681486E-3</v>
      </c>
      <c r="H241" s="4">
        <v>-5.4100864597681486E-3</v>
      </c>
    </row>
    <row r="242" spans="1:8" x14ac:dyDescent="0.25">
      <c r="A242" s="8">
        <v>41774</v>
      </c>
      <c r="B242" s="4">
        <v>1870.849976</v>
      </c>
      <c r="C242" s="4">
        <v>44.360315999999997</v>
      </c>
      <c r="D242" s="4">
        <v>551.18251499999997</v>
      </c>
      <c r="F242" s="4">
        <v>-9.3618066583573967E-3</v>
      </c>
      <c r="G242" s="4">
        <v>-9.1383552193590178E-3</v>
      </c>
      <c r="H242" s="4">
        <v>-9.1383552193590178E-3</v>
      </c>
    </row>
    <row r="243" spans="1:8" x14ac:dyDescent="0.25">
      <c r="A243" s="8">
        <v>41775</v>
      </c>
      <c r="B243" s="4">
        <v>1877.8599850000001</v>
      </c>
      <c r="C243" s="4">
        <v>44.545392999999997</v>
      </c>
      <c r="D243" s="4">
        <v>555.51250500000003</v>
      </c>
      <c r="F243" s="4">
        <v>3.7469647967112163E-3</v>
      </c>
      <c r="G243" s="4">
        <v>4.1721298829340281E-3</v>
      </c>
      <c r="H243" s="4">
        <v>4.1721298829340281E-3</v>
      </c>
    </row>
    <row r="244" spans="1:8" x14ac:dyDescent="0.25">
      <c r="A244" s="8">
        <v>41778</v>
      </c>
      <c r="B244" s="4">
        <v>1885.079956</v>
      </c>
      <c r="C244" s="4">
        <v>44.720731000000001</v>
      </c>
      <c r="D244" s="4">
        <v>547.32250299999998</v>
      </c>
      <c r="F244" s="4">
        <v>3.8447866495221472E-3</v>
      </c>
      <c r="G244" s="4">
        <v>3.9361646220070767E-3</v>
      </c>
      <c r="H244" s="4">
        <v>3.9361646220070767E-3</v>
      </c>
    </row>
    <row r="245" spans="1:8" x14ac:dyDescent="0.25">
      <c r="A245" s="8">
        <v>41779</v>
      </c>
      <c r="B245" s="4">
        <v>1872.829956</v>
      </c>
      <c r="C245" s="4">
        <v>44.350572999999997</v>
      </c>
      <c r="D245" s="4">
        <v>554.51250900000002</v>
      </c>
      <c r="F245" s="4">
        <v>-6.4983980976560662E-3</v>
      </c>
      <c r="G245" s="4">
        <v>-8.2771008371934629E-3</v>
      </c>
      <c r="H245" s="4">
        <v>-8.2771008371934629E-3</v>
      </c>
    </row>
    <row r="246" spans="1:8" x14ac:dyDescent="0.25">
      <c r="A246" s="8">
        <v>41780</v>
      </c>
      <c r="B246" s="4">
        <v>1888.030029</v>
      </c>
      <c r="C246" s="4">
        <v>44.652543999999999</v>
      </c>
      <c r="D246" s="4">
        <v>550.84253200000001</v>
      </c>
      <c r="F246" s="4">
        <v>8.116098822161355E-3</v>
      </c>
      <c r="G246" s="4">
        <v>6.8087282660362902E-3</v>
      </c>
      <c r="H246" s="4">
        <v>6.8087282660362902E-3</v>
      </c>
    </row>
    <row r="247" spans="1:8" x14ac:dyDescent="0.25">
      <c r="A247" s="8">
        <v>41781</v>
      </c>
      <c r="B247" s="4">
        <v>1892.48999</v>
      </c>
      <c r="C247" s="4">
        <v>44.779178000000002</v>
      </c>
      <c r="D247" s="4">
        <v>559.50251300000002</v>
      </c>
      <c r="F247" s="4">
        <v>2.362229907096447E-3</v>
      </c>
      <c r="G247" s="4">
        <v>2.8359862318259044E-3</v>
      </c>
      <c r="H247" s="4">
        <v>2.8359862318259044E-3</v>
      </c>
    </row>
    <row r="248" spans="1:8" x14ac:dyDescent="0.25">
      <c r="A248" s="8">
        <v>41782</v>
      </c>
      <c r="B248" s="4">
        <v>1900.530029</v>
      </c>
      <c r="C248" s="4">
        <v>45.003219000000001</v>
      </c>
      <c r="D248" s="4">
        <v>557.99251200000003</v>
      </c>
      <c r="F248" s="4">
        <v>4.2483918237263829E-3</v>
      </c>
      <c r="G248" s="4">
        <v>5.0032405686410986E-3</v>
      </c>
      <c r="H248" s="4">
        <v>5.0032405686410986E-3</v>
      </c>
    </row>
    <row r="249" spans="1:8" x14ac:dyDescent="0.25">
      <c r="A249" s="8">
        <v>41786</v>
      </c>
      <c r="B249" s="4">
        <v>1911.910034</v>
      </c>
      <c r="C249" s="4">
        <v>45.275964999999999</v>
      </c>
      <c r="D249" s="4">
        <v>560.36253699999997</v>
      </c>
      <c r="F249" s="4">
        <v>5.9878059416866858E-3</v>
      </c>
      <c r="G249" s="4">
        <v>6.0605886881113236E-3</v>
      </c>
      <c r="H249" s="4">
        <v>6.0605886881113236E-3</v>
      </c>
    </row>
    <row r="250" spans="1:8" x14ac:dyDescent="0.25">
      <c r="A250" s="8">
        <v>41787</v>
      </c>
      <c r="B250" s="4">
        <v>1909.780029</v>
      </c>
      <c r="C250" s="4">
        <v>45.256483000000003</v>
      </c>
      <c r="D250" s="4">
        <v>558.81250999999997</v>
      </c>
      <c r="F250" s="4">
        <v>-1.1140717722704085E-3</v>
      </c>
      <c r="G250" s="4">
        <v>-4.3029452823362124E-4</v>
      </c>
      <c r="H250" s="4">
        <v>-4.3029452823362124E-4</v>
      </c>
    </row>
    <row r="251" spans="1:8" x14ac:dyDescent="0.25">
      <c r="A251" s="8">
        <v>41788</v>
      </c>
      <c r="B251" s="4">
        <v>1920.030029</v>
      </c>
      <c r="C251" s="4">
        <v>45.490267000000003</v>
      </c>
      <c r="D251" s="4">
        <v>570.19259699999998</v>
      </c>
      <c r="F251" s="4">
        <v>5.3671102662891101E-3</v>
      </c>
      <c r="G251" s="4">
        <v>5.1657571358338927E-3</v>
      </c>
      <c r="H251" s="4">
        <v>5.1657571358338927E-3</v>
      </c>
    </row>
    <row r="252" spans="1:8" x14ac:dyDescent="0.25">
      <c r="A252" s="8">
        <v>41789</v>
      </c>
      <c r="B252" s="4">
        <v>1923.5699460000001</v>
      </c>
      <c r="C252" s="4">
        <v>45.558453999999998</v>
      </c>
      <c r="D252" s="4">
        <v>558.78747799999996</v>
      </c>
      <c r="F252" s="4">
        <v>1.8436779355184285E-3</v>
      </c>
      <c r="G252" s="4">
        <v>1.498936025150055E-3</v>
      </c>
      <c r="H252" s="4">
        <v>1.498936025150055E-3</v>
      </c>
    </row>
    <row r="253" spans="1:8" x14ac:dyDescent="0.25">
      <c r="A253" s="8">
        <v>41792</v>
      </c>
      <c r="B253" s="4">
        <v>1924.969971</v>
      </c>
      <c r="C253" s="4">
        <v>45.636378999999998</v>
      </c>
      <c r="D253" s="4">
        <v>555.17252199999996</v>
      </c>
      <c r="F253" s="4">
        <v>7.2782640574686752E-4</v>
      </c>
      <c r="G253" s="4">
        <v>1.7104399547887006E-3</v>
      </c>
      <c r="H253" s="4">
        <v>1.7104399547887006E-3</v>
      </c>
    </row>
    <row r="254" spans="1:8" x14ac:dyDescent="0.25">
      <c r="A254" s="8">
        <v>41793</v>
      </c>
      <c r="B254" s="4">
        <v>1924.23999</v>
      </c>
      <c r="C254" s="4">
        <v>45.636378999999998</v>
      </c>
      <c r="D254" s="4">
        <v>548.34251200000006</v>
      </c>
      <c r="F254" s="4">
        <v>-3.7921682467634277E-4</v>
      </c>
      <c r="G254" s="4">
        <v>0</v>
      </c>
      <c r="H254" s="4">
        <v>0</v>
      </c>
    </row>
    <row r="255" spans="1:8" x14ac:dyDescent="0.25">
      <c r="A255" s="8">
        <v>41794</v>
      </c>
      <c r="B255" s="4">
        <v>1927.880005</v>
      </c>
      <c r="C255" s="4">
        <v>45.772756000000001</v>
      </c>
      <c r="D255" s="4">
        <v>552.03250200000002</v>
      </c>
      <c r="F255" s="4">
        <v>1.891663731611759E-3</v>
      </c>
      <c r="G255" s="4">
        <v>2.9883396314156485E-3</v>
      </c>
      <c r="H255" s="4">
        <v>2.9883396314156485E-3</v>
      </c>
    </row>
    <row r="256" spans="1:8" x14ac:dyDescent="0.25">
      <c r="A256" s="8">
        <v>41795</v>
      </c>
      <c r="B256" s="4">
        <v>1940.459961</v>
      </c>
      <c r="C256" s="4">
        <v>46.084465999999999</v>
      </c>
      <c r="D256" s="4">
        <v>548.00246800000002</v>
      </c>
      <c r="F256" s="4">
        <v>6.5252795647932071E-3</v>
      </c>
      <c r="G256" s="4">
        <v>6.8099460735988604E-3</v>
      </c>
      <c r="H256" s="4">
        <v>6.8099460735988604E-3</v>
      </c>
    </row>
    <row r="257" spans="1:8" x14ac:dyDescent="0.25">
      <c r="A257" s="8">
        <v>41796</v>
      </c>
      <c r="B257" s="4">
        <v>1949.4399410000001</v>
      </c>
      <c r="C257" s="4">
        <v>46.347472000000003</v>
      </c>
      <c r="D257" s="4">
        <v>542.56243900000004</v>
      </c>
      <c r="F257" s="4">
        <v>4.6277584595830756E-3</v>
      </c>
      <c r="G257" s="4">
        <v>5.7070423686802485E-3</v>
      </c>
      <c r="H257" s="4">
        <v>5.7070423686802485E-3</v>
      </c>
    </row>
    <row r="258" spans="1:8" x14ac:dyDescent="0.25">
      <c r="A258" s="8">
        <v>41799</v>
      </c>
      <c r="B258" s="4">
        <v>1951.2700199999999</v>
      </c>
      <c r="C258" s="4">
        <v>46.386432999999997</v>
      </c>
      <c r="D258" s="4">
        <v>535.53247799999997</v>
      </c>
      <c r="F258" s="4">
        <v>9.3877167565414865E-4</v>
      </c>
      <c r="G258" s="4">
        <v>8.4062837343079622E-4</v>
      </c>
      <c r="H258" s="4">
        <v>8.4062837343079622E-4</v>
      </c>
    </row>
    <row r="259" spans="1:8" x14ac:dyDescent="0.25">
      <c r="A259" s="8">
        <v>41800</v>
      </c>
      <c r="B259" s="4">
        <v>1950.790039</v>
      </c>
      <c r="C259" s="4">
        <v>46.298765000000003</v>
      </c>
      <c r="D259" s="4">
        <v>536.76743199999999</v>
      </c>
      <c r="F259" s="4">
        <v>-2.4598389514540742E-4</v>
      </c>
      <c r="G259" s="4">
        <v>-1.8899491581944039E-3</v>
      </c>
      <c r="H259" s="4">
        <v>-1.8899491581944039E-3</v>
      </c>
    </row>
    <row r="260" spans="1:8" x14ac:dyDescent="0.25">
      <c r="A260" s="8">
        <v>41801</v>
      </c>
      <c r="B260" s="4">
        <v>1943.8900149999999</v>
      </c>
      <c r="C260" s="4">
        <v>46.13317</v>
      </c>
      <c r="D260" s="4">
        <v>537.02246500000001</v>
      </c>
      <c r="F260" s="4">
        <v>-3.5370408204140613E-3</v>
      </c>
      <c r="G260" s="4">
        <v>-3.5766612781140683E-3</v>
      </c>
      <c r="H260" s="4">
        <v>-3.5766612781140683E-3</v>
      </c>
    </row>
    <row r="261" spans="1:8" x14ac:dyDescent="0.25">
      <c r="A261" s="8">
        <v>41802</v>
      </c>
      <c r="B261" s="4">
        <v>1930.1099850000001</v>
      </c>
      <c r="C261" s="4">
        <v>45.860424999999999</v>
      </c>
      <c r="D261" s="4">
        <v>541.61244599999998</v>
      </c>
      <c r="F261" s="4">
        <v>-7.088893864193202E-3</v>
      </c>
      <c r="G261" s="4">
        <v>-5.9121235328073451E-3</v>
      </c>
      <c r="H261" s="4">
        <v>-5.9121235328073451E-3</v>
      </c>
    </row>
    <row r="262" spans="1:8" x14ac:dyDescent="0.25">
      <c r="A262" s="8">
        <v>41803</v>
      </c>
      <c r="B262" s="4">
        <v>1936.160034</v>
      </c>
      <c r="C262" s="4">
        <v>46.035758000000001</v>
      </c>
      <c r="D262" s="4">
        <v>540.78247199999998</v>
      </c>
      <c r="F262" s="4">
        <v>3.134561785089085E-3</v>
      </c>
      <c r="G262" s="4">
        <v>3.8231874213987549E-3</v>
      </c>
      <c r="H262" s="4">
        <v>3.8231874213987549E-3</v>
      </c>
    </row>
    <row r="263" spans="1:8" x14ac:dyDescent="0.25">
      <c r="A263" s="8">
        <v>41806</v>
      </c>
      <c r="B263" s="4">
        <v>1937.780029</v>
      </c>
      <c r="C263" s="4">
        <v>46.113688000000003</v>
      </c>
      <c r="D263" s="4">
        <v>540.01247699999999</v>
      </c>
      <c r="F263" s="4">
        <v>8.3670511298250538E-4</v>
      </c>
      <c r="G263" s="4">
        <v>1.6928145290884267E-3</v>
      </c>
      <c r="H263" s="4">
        <v>1.6928145290884267E-3</v>
      </c>
    </row>
    <row r="264" spans="1:8" x14ac:dyDescent="0.25">
      <c r="A264" s="8">
        <v>41807</v>
      </c>
      <c r="B264" s="4">
        <v>1941.98999</v>
      </c>
      <c r="C264" s="4">
        <v>46.308508000000003</v>
      </c>
      <c r="D264" s="4">
        <v>539.17240400000003</v>
      </c>
      <c r="F264" s="4">
        <v>2.1725690929803587E-3</v>
      </c>
      <c r="G264" s="4">
        <v>4.2247759493883041E-3</v>
      </c>
      <c r="H264" s="4">
        <v>4.2247759493883041E-3</v>
      </c>
    </row>
    <row r="265" spans="1:8" x14ac:dyDescent="0.25">
      <c r="A265" s="8">
        <v>41808</v>
      </c>
      <c r="B265" s="4">
        <v>1956.9799800000001</v>
      </c>
      <c r="C265" s="4">
        <v>46.659182999999999</v>
      </c>
      <c r="D265" s="4">
        <v>530.39240500000005</v>
      </c>
      <c r="F265" s="4">
        <v>7.7188811874360219E-3</v>
      </c>
      <c r="G265" s="4">
        <v>7.5725825586951956E-3</v>
      </c>
      <c r="H265" s="4">
        <v>7.5725825586951956E-3</v>
      </c>
    </row>
    <row r="266" spans="1:8" x14ac:dyDescent="0.25">
      <c r="A266" s="8">
        <v>41809</v>
      </c>
      <c r="B266" s="4">
        <v>1959.4799800000001</v>
      </c>
      <c r="C266" s="4">
        <v>46.727369000000003</v>
      </c>
      <c r="D266" s="4">
        <v>532.53242899999998</v>
      </c>
      <c r="F266" s="4">
        <v>1.2774785769653629E-3</v>
      </c>
      <c r="G266" s="4">
        <v>1.4613629218498403E-3</v>
      </c>
      <c r="H266" s="4">
        <v>1.4613629218498403E-3</v>
      </c>
    </row>
    <row r="267" spans="1:8" x14ac:dyDescent="0.25">
      <c r="A267" s="8">
        <v>41810</v>
      </c>
      <c r="B267" s="4">
        <v>1962.869995</v>
      </c>
      <c r="C267" s="4">
        <v>46.863742000000002</v>
      </c>
      <c r="D267" s="4">
        <v>533.80239099999994</v>
      </c>
      <c r="F267" s="4">
        <v>1.7300585025625814E-3</v>
      </c>
      <c r="G267" s="4">
        <v>2.9184823138661553E-3</v>
      </c>
      <c r="H267" s="4">
        <v>2.9184823138661553E-3</v>
      </c>
    </row>
    <row r="268" spans="1:8" x14ac:dyDescent="0.25">
      <c r="A268" s="8">
        <v>41813</v>
      </c>
      <c r="B268" s="4">
        <v>1962.6099850000001</v>
      </c>
      <c r="C268" s="4">
        <v>46.824776999999997</v>
      </c>
      <c r="D268" s="4">
        <v>524.05238599999996</v>
      </c>
      <c r="F268" s="4">
        <v>-1.3246419817014576E-4</v>
      </c>
      <c r="G268" s="4">
        <v>-8.3145302396048226E-4</v>
      </c>
      <c r="H268" s="4">
        <v>-8.3145302396048226E-4</v>
      </c>
    </row>
    <row r="269" spans="1:8" x14ac:dyDescent="0.25">
      <c r="A269" s="8">
        <v>41814</v>
      </c>
      <c r="B269" s="4">
        <v>1949.9799800000001</v>
      </c>
      <c r="C269" s="4">
        <v>46.532549000000003</v>
      </c>
      <c r="D269" s="4">
        <v>535.38240800000005</v>
      </c>
      <c r="F269" s="4">
        <v>-6.4353106814546424E-3</v>
      </c>
      <c r="G269" s="4">
        <v>-6.2408839661958204E-3</v>
      </c>
      <c r="H269" s="4">
        <v>-6.2408839661958204E-3</v>
      </c>
    </row>
    <row r="270" spans="1:8" x14ac:dyDescent="0.25">
      <c r="A270" s="8">
        <v>41815</v>
      </c>
      <c r="B270" s="4">
        <v>1959.530029</v>
      </c>
      <c r="C270" s="4">
        <v>46.727369000000003</v>
      </c>
      <c r="D270" s="4">
        <v>533.97241299999996</v>
      </c>
      <c r="F270" s="4">
        <v>4.8975113067570852E-3</v>
      </c>
      <c r="G270" s="4">
        <v>4.1867467866416597E-3</v>
      </c>
      <c r="H270" s="4">
        <v>4.1867467866416597E-3</v>
      </c>
    </row>
    <row r="271" spans="1:8" x14ac:dyDescent="0.25">
      <c r="A271" s="8">
        <v>41816</v>
      </c>
      <c r="B271" s="4">
        <v>1957.219971</v>
      </c>
      <c r="C271" s="4">
        <v>46.707886999999999</v>
      </c>
      <c r="D271" s="4">
        <v>539.36745800000006</v>
      </c>
      <c r="F271" s="4">
        <v>-1.1788836944636172E-3</v>
      </c>
      <c r="G271" s="4">
        <v>-4.1692910208579459E-4</v>
      </c>
      <c r="H271" s="4">
        <v>-4.1692910208579459E-4</v>
      </c>
    </row>
    <row r="272" spans="1:8" x14ac:dyDescent="0.25">
      <c r="A272" s="8">
        <v>41817</v>
      </c>
      <c r="B272" s="4">
        <v>1960.959961</v>
      </c>
      <c r="C272" s="4">
        <v>46.815038000000001</v>
      </c>
      <c r="D272" s="4">
        <v>547.00247200000001</v>
      </c>
      <c r="F272" s="4">
        <v>1.9108685050301943E-3</v>
      </c>
      <c r="G272" s="4">
        <v>2.2940665245678726E-3</v>
      </c>
      <c r="H272" s="4">
        <v>2.2940665245678726E-3</v>
      </c>
    </row>
    <row r="273" spans="1:8" x14ac:dyDescent="0.25">
      <c r="A273" s="8">
        <v>41820</v>
      </c>
      <c r="B273" s="4">
        <v>1960.2299800000001</v>
      </c>
      <c r="C273" s="4">
        <v>46.863742000000002</v>
      </c>
      <c r="D273" s="4">
        <v>565.06256099999996</v>
      </c>
      <c r="F273" s="4">
        <v>-3.722569631802175E-4</v>
      </c>
      <c r="G273" s="4">
        <v>1.0403494706123784E-3</v>
      </c>
      <c r="H273" s="4">
        <v>1.0403494706123784E-3</v>
      </c>
    </row>
    <row r="274" spans="1:8" x14ac:dyDescent="0.25">
      <c r="A274" s="8">
        <v>41821</v>
      </c>
      <c r="B274" s="4">
        <v>1973.3199460000001</v>
      </c>
      <c r="C274" s="4">
        <v>47.126747999999999</v>
      </c>
      <c r="D274" s="4">
        <v>555.36999500000002</v>
      </c>
      <c r="F274" s="4">
        <v>6.6777705338432192E-3</v>
      </c>
      <c r="G274" s="4">
        <v>5.6121425386814749E-3</v>
      </c>
      <c r="H274" s="4">
        <v>5.6121425386814749E-3</v>
      </c>
    </row>
    <row r="275" spans="1:8" x14ac:dyDescent="0.25">
      <c r="A275" s="8">
        <v>41822</v>
      </c>
      <c r="B275" s="4">
        <v>1974.619995</v>
      </c>
      <c r="C275" s="4">
        <v>47.078043999999998</v>
      </c>
      <c r="D275" s="4">
        <v>553.67999299999997</v>
      </c>
      <c r="F275" s="4">
        <v>6.5881308433302088E-4</v>
      </c>
      <c r="G275" s="4">
        <v>-1.03346829702744E-3</v>
      </c>
      <c r="H275" s="4">
        <v>-1.03346829702744E-3</v>
      </c>
    </row>
    <row r="276" spans="1:8" x14ac:dyDescent="0.25">
      <c r="A276" s="8">
        <v>41823</v>
      </c>
      <c r="B276" s="4">
        <v>1985.4399410000001</v>
      </c>
      <c r="C276" s="4">
        <v>47.341047000000003</v>
      </c>
      <c r="D276" s="4">
        <v>549.080017</v>
      </c>
      <c r="F276" s="4">
        <v>5.4795079698359839E-3</v>
      </c>
      <c r="G276" s="4">
        <v>5.5865320147965303E-3</v>
      </c>
      <c r="H276" s="4">
        <v>5.5865320147965303E-3</v>
      </c>
    </row>
    <row r="277" spans="1:8" x14ac:dyDescent="0.25">
      <c r="A277" s="8">
        <v>41827</v>
      </c>
      <c r="B277" s="4">
        <v>1977.650024</v>
      </c>
      <c r="C277" s="4">
        <v>47.068300999999998</v>
      </c>
      <c r="D277" s="4">
        <v>537.34002699999996</v>
      </c>
      <c r="F277" s="4">
        <v>-3.9235218548472339E-3</v>
      </c>
      <c r="G277" s="4">
        <v>-5.7613005474932422E-3</v>
      </c>
      <c r="H277" s="4">
        <v>-5.7613005474932422E-3</v>
      </c>
    </row>
    <row r="278" spans="1:8" x14ac:dyDescent="0.25">
      <c r="A278" s="8">
        <v>41828</v>
      </c>
      <c r="B278" s="4">
        <v>1963.709961</v>
      </c>
      <c r="C278" s="4">
        <v>46.785812999999997</v>
      </c>
      <c r="D278" s="4">
        <v>537.90002400000003</v>
      </c>
      <c r="F278" s="4">
        <v>-7.0488017752527998E-3</v>
      </c>
      <c r="G278" s="4">
        <v>-6.0016612879228992E-3</v>
      </c>
      <c r="H278" s="4">
        <v>-6.0016612879228992E-3</v>
      </c>
    </row>
    <row r="279" spans="1:8" x14ac:dyDescent="0.25">
      <c r="A279" s="8">
        <v>41829</v>
      </c>
      <c r="B279" s="4">
        <v>1972.829956</v>
      </c>
      <c r="C279" s="4">
        <v>46.990375</v>
      </c>
      <c r="D279" s="4">
        <v>576.08265200000005</v>
      </c>
      <c r="F279" s="4">
        <v>4.6442678303448837E-3</v>
      </c>
      <c r="G279" s="4">
        <v>4.3723083320150735E-3</v>
      </c>
      <c r="H279" s="4">
        <v>4.3723083320150735E-3</v>
      </c>
    </row>
    <row r="280" spans="1:8" x14ac:dyDescent="0.25">
      <c r="A280" s="8">
        <v>41830</v>
      </c>
      <c r="B280" s="4">
        <v>1964.6800539999999</v>
      </c>
      <c r="C280" s="4">
        <v>46.766330000000004</v>
      </c>
      <c r="D280" s="4">
        <v>571.10256300000003</v>
      </c>
      <c r="F280" s="4">
        <v>-4.1310716999271024E-3</v>
      </c>
      <c r="G280" s="4">
        <v>-4.7678912968878162E-3</v>
      </c>
      <c r="H280" s="4">
        <v>-4.7678912968878162E-3</v>
      </c>
    </row>
    <row r="281" spans="1:8" x14ac:dyDescent="0.25">
      <c r="A281" s="8">
        <v>41831</v>
      </c>
      <c r="B281" s="4">
        <v>1967.5699460000001</v>
      </c>
      <c r="C281" s="4">
        <v>46.795555999999998</v>
      </c>
      <c r="D281" s="4">
        <v>579.18264499999998</v>
      </c>
      <c r="F281" s="4">
        <v>1.4709224507656327E-3</v>
      </c>
      <c r="G281" s="4">
        <v>6.2493678678654518E-4</v>
      </c>
      <c r="H281" s="4">
        <v>6.2493678678654518E-4</v>
      </c>
    </row>
    <row r="282" spans="1:8" x14ac:dyDescent="0.25">
      <c r="A282" s="8">
        <v>41834</v>
      </c>
      <c r="B282" s="4">
        <v>1977.099976</v>
      </c>
      <c r="C282" s="4">
        <v>46.941668</v>
      </c>
      <c r="D282" s="4">
        <v>584.87262699999997</v>
      </c>
      <c r="F282" s="4">
        <v>4.8435533483188742E-3</v>
      </c>
      <c r="G282" s="4">
        <v>3.1223477716559866E-3</v>
      </c>
      <c r="H282" s="4">
        <v>3.1223477716559866E-3</v>
      </c>
    </row>
    <row r="283" spans="1:8" x14ac:dyDescent="0.25">
      <c r="A283" s="8">
        <v>41835</v>
      </c>
      <c r="B283" s="4">
        <v>1973.280029</v>
      </c>
      <c r="C283" s="4">
        <v>46.824776999999997</v>
      </c>
      <c r="D283" s="4">
        <v>584.78265899999997</v>
      </c>
      <c r="F283" s="4">
        <v>-1.9320960226444361E-3</v>
      </c>
      <c r="G283" s="4">
        <v>-2.4901330732431948E-3</v>
      </c>
      <c r="H283" s="4">
        <v>-2.4901330732431948E-3</v>
      </c>
    </row>
    <row r="284" spans="1:8" x14ac:dyDescent="0.25">
      <c r="A284" s="8">
        <v>41836</v>
      </c>
      <c r="B284" s="4">
        <v>1981.5699460000001</v>
      </c>
      <c r="C284" s="4">
        <v>46.990375</v>
      </c>
      <c r="D284" s="4">
        <v>582.66258700000003</v>
      </c>
      <c r="F284" s="4">
        <v>4.2010849337998923E-3</v>
      </c>
      <c r="G284" s="4">
        <v>3.5365464741028418E-3</v>
      </c>
      <c r="H284" s="4">
        <v>3.5365464741028418E-3</v>
      </c>
    </row>
    <row r="285" spans="1:8" x14ac:dyDescent="0.25">
      <c r="A285" s="8">
        <v>41837</v>
      </c>
      <c r="B285" s="4">
        <v>1958.119995</v>
      </c>
      <c r="C285" s="4">
        <v>46.425398000000001</v>
      </c>
      <c r="D285" s="4">
        <v>573.73257899999999</v>
      </c>
      <c r="F285" s="4">
        <v>-1.1834026372541717E-2</v>
      </c>
      <c r="G285" s="4">
        <v>-1.2023249442039918E-2</v>
      </c>
      <c r="H285" s="4">
        <v>-1.2023249442039918E-2</v>
      </c>
    </row>
    <row r="286" spans="1:8" x14ac:dyDescent="0.25">
      <c r="A286" s="8">
        <v>41838</v>
      </c>
      <c r="B286" s="4">
        <v>1978.219971</v>
      </c>
      <c r="C286" s="4">
        <v>46.892963999999999</v>
      </c>
      <c r="D286" s="4">
        <v>595.08269600000006</v>
      </c>
      <c r="F286" s="4">
        <v>1.0264935780914586E-2</v>
      </c>
      <c r="G286" s="4">
        <v>1.0071340691575781E-2</v>
      </c>
      <c r="H286" s="4">
        <v>1.0071340691575781E-2</v>
      </c>
    </row>
    <row r="287" spans="1:8" x14ac:dyDescent="0.25">
      <c r="A287" s="8">
        <v>41841</v>
      </c>
      <c r="B287" s="4">
        <v>1973.630005</v>
      </c>
      <c r="C287" s="4">
        <v>46.776072999999997</v>
      </c>
      <c r="D287" s="4">
        <v>589.47264500000006</v>
      </c>
      <c r="F287" s="4">
        <v>-2.3202505622667013E-3</v>
      </c>
      <c r="G287" s="4">
        <v>-2.4927193768344846E-3</v>
      </c>
      <c r="H287" s="4">
        <v>-2.4927193768344846E-3</v>
      </c>
    </row>
    <row r="288" spans="1:8" x14ac:dyDescent="0.25">
      <c r="A288" s="8">
        <v>41842</v>
      </c>
      <c r="B288" s="4">
        <v>1983.530029</v>
      </c>
      <c r="C288" s="4">
        <v>47.000115000000001</v>
      </c>
      <c r="D288" s="4">
        <v>594.74265200000002</v>
      </c>
      <c r="F288" s="4">
        <v>5.0161499242102892E-3</v>
      </c>
      <c r="G288" s="4">
        <v>4.7896709926891212E-3</v>
      </c>
      <c r="H288" s="4">
        <v>4.7896709926891212E-3</v>
      </c>
    </row>
    <row r="289" spans="1:8" x14ac:dyDescent="0.25">
      <c r="A289" s="8">
        <v>41843</v>
      </c>
      <c r="B289" s="4">
        <v>1987.01001</v>
      </c>
      <c r="C289" s="4">
        <v>47.019596999999997</v>
      </c>
      <c r="D289" s="4">
        <v>595.98268599999994</v>
      </c>
      <c r="F289" s="4">
        <v>1.7544382737448849E-3</v>
      </c>
      <c r="G289" s="4">
        <v>4.1450962407219016E-4</v>
      </c>
      <c r="H289" s="4">
        <v>4.1450962407219016E-4</v>
      </c>
    </row>
    <row r="290" spans="1:8" x14ac:dyDescent="0.25">
      <c r="A290" s="8">
        <v>41844</v>
      </c>
      <c r="B290" s="4">
        <v>1987.9799800000001</v>
      </c>
      <c r="C290" s="4">
        <v>47.107266000000003</v>
      </c>
      <c r="D290" s="4">
        <v>593.35267099999999</v>
      </c>
      <c r="F290" s="4">
        <v>4.8815556797321413E-4</v>
      </c>
      <c r="G290" s="4">
        <v>1.8645204466556375E-3</v>
      </c>
      <c r="H290" s="4">
        <v>1.8645204466556375E-3</v>
      </c>
    </row>
    <row r="291" spans="1:8" x14ac:dyDescent="0.25">
      <c r="A291" s="8">
        <v>41845</v>
      </c>
      <c r="B291" s="4">
        <v>1978.339966</v>
      </c>
      <c r="C291" s="4">
        <v>46.902706999999999</v>
      </c>
      <c r="D291" s="4">
        <v>589.02268100000003</v>
      </c>
      <c r="F291" s="4">
        <v>-4.8491504426518839E-3</v>
      </c>
      <c r="G291" s="4">
        <v>-4.3424086636656423E-3</v>
      </c>
      <c r="H291" s="4">
        <v>-4.3424086636656423E-3</v>
      </c>
    </row>
    <row r="292" spans="1:8" x14ac:dyDescent="0.25">
      <c r="A292" s="8">
        <v>41848</v>
      </c>
      <c r="B292" s="4">
        <v>1978.910034</v>
      </c>
      <c r="C292" s="4">
        <v>46.912446000000003</v>
      </c>
      <c r="D292" s="4">
        <v>590.60263599999996</v>
      </c>
      <c r="F292" s="4">
        <v>2.8815472052179381E-4</v>
      </c>
      <c r="G292" s="4">
        <v>2.0764259939198837E-4</v>
      </c>
      <c r="H292" s="4">
        <v>2.0764259939198837E-4</v>
      </c>
    </row>
    <row r="293" spans="1:8" x14ac:dyDescent="0.25">
      <c r="A293" s="8">
        <v>41849</v>
      </c>
      <c r="B293" s="4">
        <v>1969.9499510000001</v>
      </c>
      <c r="C293" s="4">
        <v>46.688403999999998</v>
      </c>
      <c r="D293" s="4">
        <v>585.61263299999996</v>
      </c>
      <c r="F293" s="4">
        <v>-4.5277869362705392E-3</v>
      </c>
      <c r="G293" s="4">
        <v>-4.7757475702717711E-3</v>
      </c>
      <c r="H293" s="4">
        <v>-4.7757475702717711E-3</v>
      </c>
    </row>
    <row r="294" spans="1:8" x14ac:dyDescent="0.25">
      <c r="A294" s="8">
        <v>41850</v>
      </c>
      <c r="B294" s="4">
        <v>1970.0699460000001</v>
      </c>
      <c r="C294" s="4">
        <v>46.668922000000002</v>
      </c>
      <c r="D294" s="4">
        <v>587.42264999999998</v>
      </c>
      <c r="F294" s="4">
        <v>6.0912715035721376E-5</v>
      </c>
      <c r="G294" s="4">
        <v>-4.1727706091643224E-4</v>
      </c>
      <c r="H294" s="4">
        <v>-4.1727706091643224E-4</v>
      </c>
    </row>
    <row r="295" spans="1:8" x14ac:dyDescent="0.25">
      <c r="A295" s="8">
        <v>41851</v>
      </c>
      <c r="B295" s="4">
        <v>1930.670044</v>
      </c>
      <c r="C295" s="4">
        <v>45.782494999999997</v>
      </c>
      <c r="D295" s="4">
        <v>571.60253</v>
      </c>
      <c r="F295" s="4">
        <v>-1.9999240169110255E-2</v>
      </c>
      <c r="G295" s="4">
        <v>-1.8993946335422174E-2</v>
      </c>
      <c r="H295" s="4">
        <v>-1.8993946335422174E-2</v>
      </c>
    </row>
    <row r="296" spans="1:8" x14ac:dyDescent="0.25">
      <c r="A296" s="8">
        <v>41852</v>
      </c>
      <c r="B296" s="4">
        <v>1925.150024</v>
      </c>
      <c r="C296" s="4">
        <v>45.685087000000003</v>
      </c>
      <c r="D296" s="4">
        <v>566.07259399999998</v>
      </c>
      <c r="F296" s="4">
        <v>-2.8591213797275472E-3</v>
      </c>
      <c r="G296" s="4">
        <v>-2.1276254166574526E-3</v>
      </c>
      <c r="H296" s="4">
        <v>-2.1276254166574526E-3</v>
      </c>
    </row>
    <row r="297" spans="1:8" x14ac:dyDescent="0.25">
      <c r="A297" s="8">
        <v>41855</v>
      </c>
      <c r="B297" s="4">
        <v>1938.98999</v>
      </c>
      <c r="C297" s="4">
        <v>46.006537000000002</v>
      </c>
      <c r="D297" s="4">
        <v>573.15261899999996</v>
      </c>
      <c r="F297" s="4">
        <v>7.1890324532961625E-3</v>
      </c>
      <c r="G297" s="4">
        <v>7.0362129331174028E-3</v>
      </c>
      <c r="H297" s="4">
        <v>7.0362129331174028E-3</v>
      </c>
    </row>
    <row r="298" spans="1:8" x14ac:dyDescent="0.25">
      <c r="A298" s="8">
        <v>41856</v>
      </c>
      <c r="B298" s="4">
        <v>1920.209961</v>
      </c>
      <c r="C298" s="4">
        <v>45.616900999999999</v>
      </c>
      <c r="D298" s="4">
        <v>565.07259799999997</v>
      </c>
      <c r="F298" s="4">
        <v>-9.6854698048235432E-3</v>
      </c>
      <c r="G298" s="4">
        <v>-8.4691442870391542E-3</v>
      </c>
      <c r="H298" s="4">
        <v>-8.4691442870391542E-3</v>
      </c>
    </row>
    <row r="299" spans="1:8" x14ac:dyDescent="0.25">
      <c r="A299" s="8">
        <v>41857</v>
      </c>
      <c r="B299" s="4">
        <v>1920.23999</v>
      </c>
      <c r="C299" s="4">
        <v>45.607157999999998</v>
      </c>
      <c r="D299" s="4">
        <v>566.37658899999997</v>
      </c>
      <c r="F299" s="4">
        <v>1.5638394035066838E-5</v>
      </c>
      <c r="G299" s="4">
        <v>-2.1358311911634509E-4</v>
      </c>
      <c r="H299" s="4">
        <v>-2.1358311911634509E-4</v>
      </c>
    </row>
    <row r="300" spans="1:8" x14ac:dyDescent="0.25">
      <c r="A300" s="8">
        <v>41858</v>
      </c>
      <c r="B300" s="4">
        <v>1909.5699460000001</v>
      </c>
      <c r="C300" s="4">
        <v>45.344150999999997</v>
      </c>
      <c r="D300" s="4">
        <v>563.36252500000001</v>
      </c>
      <c r="F300" s="4">
        <v>-5.5566200347696437E-3</v>
      </c>
      <c r="G300" s="4">
        <v>-5.7667921338138139E-3</v>
      </c>
      <c r="H300" s="4">
        <v>-5.7667921338138139E-3</v>
      </c>
    </row>
    <row r="301" spans="1:8" x14ac:dyDescent="0.25">
      <c r="A301" s="8">
        <v>41859</v>
      </c>
      <c r="B301" s="4">
        <v>1931.589966</v>
      </c>
      <c r="C301" s="4">
        <v>45.93835</v>
      </c>
      <c r="D301" s="4">
        <v>568.77262599999995</v>
      </c>
      <c r="F301" s="4">
        <v>1.1531402683691017E-2</v>
      </c>
      <c r="G301" s="4">
        <v>1.3104203891699306E-2</v>
      </c>
      <c r="H301" s="4">
        <v>1.3104203891699306E-2</v>
      </c>
    </row>
    <row r="302" spans="1:8" x14ac:dyDescent="0.25">
      <c r="A302" s="8">
        <v>41862</v>
      </c>
      <c r="B302" s="4">
        <v>1936.920044</v>
      </c>
      <c r="C302" s="4">
        <v>46.084465999999999</v>
      </c>
      <c r="D302" s="4">
        <v>567.88255100000003</v>
      </c>
      <c r="F302" s="4">
        <v>2.7594251853759744E-3</v>
      </c>
      <c r="G302" s="4">
        <v>3.1806976088606387E-3</v>
      </c>
      <c r="H302" s="4">
        <v>3.1806976088606387E-3</v>
      </c>
    </row>
    <row r="303" spans="1:8" x14ac:dyDescent="0.25">
      <c r="A303" s="8">
        <v>41863</v>
      </c>
      <c r="B303" s="4">
        <v>1933.75</v>
      </c>
      <c r="C303" s="4">
        <v>45.987054000000001</v>
      </c>
      <c r="D303" s="4">
        <v>562.73256200000003</v>
      </c>
      <c r="F303" s="4">
        <v>-1.6366416413624574E-3</v>
      </c>
      <c r="G303" s="4">
        <v>-2.1137708311516068E-3</v>
      </c>
      <c r="H303" s="4">
        <v>-2.1137708311516068E-3</v>
      </c>
    </row>
    <row r="304" spans="1:8" x14ac:dyDescent="0.25">
      <c r="A304" s="8">
        <v>41864</v>
      </c>
      <c r="B304" s="4">
        <v>1946.719971</v>
      </c>
      <c r="C304" s="4">
        <v>46.259804000000003</v>
      </c>
      <c r="D304" s="4">
        <v>574.78263900000002</v>
      </c>
      <c r="F304" s="4">
        <v>6.7071601809953751E-3</v>
      </c>
      <c r="G304" s="4">
        <v>5.9310170205728596E-3</v>
      </c>
      <c r="H304" s="4">
        <v>5.9310170205728596E-3</v>
      </c>
    </row>
    <row r="305" spans="1:8" x14ac:dyDescent="0.25">
      <c r="A305" s="8">
        <v>41865</v>
      </c>
      <c r="B305" s="4">
        <v>1955.1800539999999</v>
      </c>
      <c r="C305" s="4">
        <v>46.493585000000003</v>
      </c>
      <c r="D305" s="4">
        <v>574.65264300000001</v>
      </c>
      <c r="F305" s="4">
        <v>4.3458140492873554E-3</v>
      </c>
      <c r="G305" s="4">
        <v>5.0536530591440698E-3</v>
      </c>
      <c r="H305" s="4">
        <v>5.0536530591440698E-3</v>
      </c>
    </row>
    <row r="306" spans="1:8" x14ac:dyDescent="0.25">
      <c r="A306" s="8">
        <v>41866</v>
      </c>
      <c r="B306" s="4">
        <v>1955.0600589999999</v>
      </c>
      <c r="C306" s="4">
        <v>46.483845000000002</v>
      </c>
      <c r="D306" s="4">
        <v>573.48256400000002</v>
      </c>
      <c r="F306" s="4">
        <v>-6.1372864230357926E-5</v>
      </c>
      <c r="G306" s="4">
        <v>-2.0949126637581639E-4</v>
      </c>
      <c r="H306" s="4">
        <v>-2.0949126637581639E-4</v>
      </c>
    </row>
    <row r="307" spans="1:8" x14ac:dyDescent="0.25">
      <c r="A307" s="8">
        <v>41869</v>
      </c>
      <c r="B307" s="4">
        <v>1971.73999</v>
      </c>
      <c r="C307" s="4">
        <v>46.892963999999999</v>
      </c>
      <c r="D307" s="4">
        <v>582.16261899999995</v>
      </c>
      <c r="F307" s="4">
        <v>8.5316719162744636E-3</v>
      </c>
      <c r="G307" s="4">
        <v>8.801315811977295E-3</v>
      </c>
      <c r="H307" s="4">
        <v>8.801315811977295E-3</v>
      </c>
    </row>
    <row r="308" spans="1:8" x14ac:dyDescent="0.25">
      <c r="A308" s="8">
        <v>41870</v>
      </c>
      <c r="B308" s="4">
        <v>1981.599976</v>
      </c>
      <c r="C308" s="4">
        <v>47.136488</v>
      </c>
      <c r="D308" s="4">
        <v>586.86264300000005</v>
      </c>
      <c r="F308" s="4">
        <v>5.0006522411709664E-3</v>
      </c>
      <c r="G308" s="4">
        <v>5.1931884706626352E-3</v>
      </c>
      <c r="H308" s="4">
        <v>5.1931884706626352E-3</v>
      </c>
    </row>
    <row r="309" spans="1:8" x14ac:dyDescent="0.25">
      <c r="A309" s="8">
        <v>41871</v>
      </c>
      <c r="B309" s="4">
        <v>1986.51001</v>
      </c>
      <c r="C309" s="4">
        <v>47.302086000000003</v>
      </c>
      <c r="D309" s="4">
        <v>584.49261799999999</v>
      </c>
      <c r="F309" s="4">
        <v>2.4778129084919165E-3</v>
      </c>
      <c r="G309" s="4">
        <v>3.5131594869775018E-3</v>
      </c>
      <c r="H309" s="4">
        <v>3.5131594869775018E-3</v>
      </c>
    </row>
    <row r="310" spans="1:8" x14ac:dyDescent="0.25">
      <c r="A310" s="8">
        <v>41872</v>
      </c>
      <c r="B310" s="4">
        <v>1992.369995</v>
      </c>
      <c r="C310" s="4">
        <v>47.389754000000003</v>
      </c>
      <c r="D310" s="4">
        <v>583.37266399999999</v>
      </c>
      <c r="F310" s="4">
        <v>2.9498894898596362E-3</v>
      </c>
      <c r="G310" s="4">
        <v>1.8533643526841281E-3</v>
      </c>
      <c r="H310" s="4">
        <v>1.8533643526841281E-3</v>
      </c>
    </row>
    <row r="311" spans="1:8" x14ac:dyDescent="0.25">
      <c r="A311" s="8">
        <v>41873</v>
      </c>
      <c r="B311" s="4">
        <v>1988.400024</v>
      </c>
      <c r="C311" s="4">
        <v>47.321567999999999</v>
      </c>
      <c r="D311" s="4">
        <v>582.56264199999998</v>
      </c>
      <c r="F311" s="4">
        <v>-1.9925872252457566E-3</v>
      </c>
      <c r="G311" s="4">
        <v>-1.4388342256430597E-3</v>
      </c>
      <c r="H311" s="4">
        <v>-1.4388342256430597E-3</v>
      </c>
    </row>
    <row r="312" spans="1:8" x14ac:dyDescent="0.25">
      <c r="A312" s="8">
        <v>41876</v>
      </c>
      <c r="B312" s="4">
        <v>1997.920044</v>
      </c>
      <c r="C312" s="4">
        <v>47.526127000000002</v>
      </c>
      <c r="D312" s="4">
        <v>580.20265400000005</v>
      </c>
      <c r="F312" s="4">
        <v>4.7877790611010607E-3</v>
      </c>
      <c r="G312" s="4">
        <v>4.3227434898185368E-3</v>
      </c>
      <c r="H312" s="4">
        <v>4.3227434898185368E-3</v>
      </c>
    </row>
    <row r="313" spans="1:8" x14ac:dyDescent="0.25">
      <c r="A313" s="8">
        <v>41877</v>
      </c>
      <c r="B313" s="4">
        <v>2000.0200199999999</v>
      </c>
      <c r="C313" s="4">
        <v>47.565092</v>
      </c>
      <c r="D313" s="4">
        <v>577.862619</v>
      </c>
      <c r="F313" s="4">
        <v>1.0510811012214294E-3</v>
      </c>
      <c r="G313" s="4">
        <v>8.1986482929696791E-4</v>
      </c>
      <c r="H313" s="4">
        <v>8.1986482929696791E-4</v>
      </c>
    </row>
    <row r="314" spans="1:8" x14ac:dyDescent="0.25">
      <c r="A314" s="8">
        <v>41878</v>
      </c>
      <c r="B314" s="4">
        <v>2000.119995</v>
      </c>
      <c r="C314" s="4">
        <v>47.565092</v>
      </c>
      <c r="D314" s="4">
        <v>571.00255700000002</v>
      </c>
      <c r="F314" s="4">
        <v>4.9986999630213802E-5</v>
      </c>
      <c r="G314" s="4">
        <v>0</v>
      </c>
      <c r="H314" s="4">
        <v>0</v>
      </c>
    </row>
    <row r="315" spans="1:8" x14ac:dyDescent="0.25">
      <c r="A315" s="8">
        <v>41879</v>
      </c>
      <c r="B315" s="4">
        <v>1996.73999</v>
      </c>
      <c r="C315" s="4">
        <v>47.535867000000003</v>
      </c>
      <c r="D315" s="4">
        <v>569.20257700000002</v>
      </c>
      <c r="F315" s="4">
        <v>-1.6899011101580985E-3</v>
      </c>
      <c r="G315" s="4">
        <v>-6.1442118097865261E-4</v>
      </c>
      <c r="H315" s="4">
        <v>-6.1442118097865261E-4</v>
      </c>
    </row>
    <row r="316" spans="1:8" x14ac:dyDescent="0.25">
      <c r="A316" s="8">
        <v>41880</v>
      </c>
      <c r="B316" s="4">
        <v>2003.369995</v>
      </c>
      <c r="C316" s="4">
        <v>47.720947000000002</v>
      </c>
      <c r="D316" s="4">
        <v>571.60253</v>
      </c>
      <c r="F316" s="4">
        <v>3.3204147927141658E-3</v>
      </c>
      <c r="G316" s="4">
        <v>3.8934811055408858E-3</v>
      </c>
      <c r="H316" s="4">
        <v>3.8934811055408858E-3</v>
      </c>
    </row>
    <row r="317" spans="1:8" x14ac:dyDescent="0.25">
      <c r="A317" s="8">
        <v>41884</v>
      </c>
      <c r="B317" s="4">
        <v>2002.280029</v>
      </c>
      <c r="C317" s="4">
        <v>47.701464999999999</v>
      </c>
      <c r="D317" s="4">
        <v>577.33266200000003</v>
      </c>
      <c r="F317" s="4">
        <v>-5.4406624972935802E-4</v>
      </c>
      <c r="G317" s="4">
        <v>-4.0824839456776729E-4</v>
      </c>
      <c r="H317" s="4">
        <v>-4.0824839456776729E-4</v>
      </c>
    </row>
    <row r="318" spans="1:8" x14ac:dyDescent="0.25">
      <c r="A318" s="8">
        <v>41885</v>
      </c>
      <c r="B318" s="4">
        <v>2000.719971</v>
      </c>
      <c r="C318" s="4">
        <v>47.711204000000002</v>
      </c>
      <c r="D318" s="4">
        <v>577.94261100000006</v>
      </c>
      <c r="F318" s="4">
        <v>-7.7914076822671596E-4</v>
      </c>
      <c r="G318" s="4">
        <v>2.041656372608891E-4</v>
      </c>
      <c r="H318" s="4">
        <v>2.041656372608891E-4</v>
      </c>
    </row>
    <row r="319" spans="1:8" x14ac:dyDescent="0.25">
      <c r="A319" s="8">
        <v>41886</v>
      </c>
      <c r="B319" s="4">
        <v>1997.650024</v>
      </c>
      <c r="C319" s="4">
        <v>47.643017999999998</v>
      </c>
      <c r="D319" s="4">
        <v>581.98262099999999</v>
      </c>
      <c r="F319" s="4">
        <v>-1.5344211306420608E-3</v>
      </c>
      <c r="G319" s="4">
        <v>-1.4291402078221438E-3</v>
      </c>
      <c r="H319" s="4">
        <v>-1.4291402078221438E-3</v>
      </c>
    </row>
    <row r="320" spans="1:8" x14ac:dyDescent="0.25">
      <c r="A320" s="8">
        <v>41887</v>
      </c>
      <c r="B320" s="4">
        <v>2007.709961</v>
      </c>
      <c r="C320" s="4">
        <v>47.876801999999998</v>
      </c>
      <c r="D320" s="4">
        <v>586.082672</v>
      </c>
      <c r="F320" s="4">
        <v>5.0358856051553325E-3</v>
      </c>
      <c r="G320" s="4">
        <v>4.9069939272108343E-3</v>
      </c>
      <c r="H320" s="4">
        <v>4.9069939272108343E-3</v>
      </c>
    </row>
    <row r="321" spans="1:8" x14ac:dyDescent="0.25">
      <c r="A321" s="8">
        <v>41890</v>
      </c>
      <c r="B321" s="4">
        <v>2001.540039</v>
      </c>
      <c r="C321" s="4">
        <v>47.720947000000002</v>
      </c>
      <c r="D321" s="4">
        <v>589.72265900000002</v>
      </c>
      <c r="F321" s="4">
        <v>-3.0731142046667159E-3</v>
      </c>
      <c r="G321" s="4">
        <v>-3.255334389293485E-3</v>
      </c>
      <c r="H321" s="4">
        <v>-3.255334389293485E-3</v>
      </c>
    </row>
    <row r="322" spans="1:8" x14ac:dyDescent="0.25">
      <c r="A322" s="8">
        <v>41891</v>
      </c>
      <c r="B322" s="4">
        <v>1988.4399410000001</v>
      </c>
      <c r="C322" s="4">
        <v>47.380011000000003</v>
      </c>
      <c r="D322" s="4">
        <v>581.01261499999998</v>
      </c>
      <c r="F322" s="4">
        <v>-6.5450092152764539E-3</v>
      </c>
      <c r="G322" s="4">
        <v>-7.1443678600929816E-3</v>
      </c>
      <c r="H322" s="4">
        <v>-7.1443678600929816E-3</v>
      </c>
    </row>
    <row r="323" spans="1:8" x14ac:dyDescent="0.25">
      <c r="A323" s="8">
        <v>41892</v>
      </c>
      <c r="B323" s="4">
        <v>1995.6899410000001</v>
      </c>
      <c r="C323" s="4">
        <v>47.477423000000002</v>
      </c>
      <c r="D323" s="4">
        <v>583.10263599999996</v>
      </c>
      <c r="F323" s="4">
        <v>3.646074417693379E-3</v>
      </c>
      <c r="G323" s="4">
        <v>2.0559725070556922E-3</v>
      </c>
      <c r="H323" s="4">
        <v>2.0559725070556922E-3</v>
      </c>
    </row>
    <row r="324" spans="1:8" x14ac:dyDescent="0.25">
      <c r="A324" s="8">
        <v>41893</v>
      </c>
      <c r="B324" s="4">
        <v>1997.4499510000001</v>
      </c>
      <c r="C324" s="4">
        <v>47.565092</v>
      </c>
      <c r="D324" s="4">
        <v>581.35259799999994</v>
      </c>
      <c r="F324" s="4">
        <v>8.8190553243849834E-4</v>
      </c>
      <c r="G324" s="4">
        <v>1.8465408284691343E-3</v>
      </c>
      <c r="H324" s="4">
        <v>1.8465408284691343E-3</v>
      </c>
    </row>
    <row r="325" spans="1:8" x14ac:dyDescent="0.25">
      <c r="A325" s="8">
        <v>41894</v>
      </c>
      <c r="B325" s="4">
        <v>1985.540039</v>
      </c>
      <c r="C325" s="4">
        <v>47.224156000000001</v>
      </c>
      <c r="D325" s="4">
        <v>575.62258899999995</v>
      </c>
      <c r="F325" s="4">
        <v>-5.9625584080529315E-3</v>
      </c>
      <c r="G325" s="4">
        <v>-7.1677775794063425E-3</v>
      </c>
      <c r="H325" s="4">
        <v>-7.1677775794063425E-3</v>
      </c>
    </row>
    <row r="326" spans="1:8" x14ac:dyDescent="0.25">
      <c r="A326" s="8">
        <v>41897</v>
      </c>
      <c r="B326" s="4">
        <v>1984.130005</v>
      </c>
      <c r="C326" s="4">
        <v>47.136488</v>
      </c>
      <c r="D326" s="4">
        <v>573.10255500000005</v>
      </c>
      <c r="F326" s="4">
        <v>-7.101513806340165E-4</v>
      </c>
      <c r="G326" s="4">
        <v>-1.8564228019236628E-3</v>
      </c>
      <c r="H326" s="4">
        <v>-1.8564228019236628E-3</v>
      </c>
    </row>
    <row r="327" spans="1:8" x14ac:dyDescent="0.25">
      <c r="A327" s="8">
        <v>41898</v>
      </c>
      <c r="B327" s="4">
        <v>1998.9799800000001</v>
      </c>
      <c r="C327" s="4">
        <v>47.457940999999998</v>
      </c>
      <c r="D327" s="4">
        <v>579.95263999999997</v>
      </c>
      <c r="F327" s="4">
        <v>7.4843760048879382E-3</v>
      </c>
      <c r="G327" s="4">
        <v>6.8196213515101523E-3</v>
      </c>
      <c r="H327" s="4">
        <v>6.8196213515101523E-3</v>
      </c>
    </row>
    <row r="328" spans="1:8" x14ac:dyDescent="0.25">
      <c r="A328" s="8">
        <v>41899</v>
      </c>
      <c r="B328" s="4">
        <v>2001.5699460000001</v>
      </c>
      <c r="C328" s="4">
        <v>47.487163000000002</v>
      </c>
      <c r="D328" s="4">
        <v>584.77268300000003</v>
      </c>
      <c r="F328" s="4">
        <v>1.295643791290102E-3</v>
      </c>
      <c r="G328" s="4">
        <v>6.1574521321960951E-4</v>
      </c>
      <c r="H328" s="4">
        <v>6.1574521321960951E-4</v>
      </c>
    </row>
    <row r="329" spans="1:8" x14ac:dyDescent="0.25">
      <c r="A329" s="8">
        <v>41900</v>
      </c>
      <c r="B329" s="4">
        <v>2011.3599850000001</v>
      </c>
      <c r="C329" s="4">
        <v>47.662500000000001</v>
      </c>
      <c r="D329" s="4">
        <v>589.272695</v>
      </c>
      <c r="F329" s="4">
        <v>4.8911800557180918E-3</v>
      </c>
      <c r="G329" s="4">
        <v>3.6923031177920063E-3</v>
      </c>
      <c r="H329" s="4">
        <v>3.6923031177920063E-3</v>
      </c>
    </row>
    <row r="330" spans="1:8" x14ac:dyDescent="0.25">
      <c r="A330" s="8">
        <v>41901</v>
      </c>
      <c r="B330" s="4">
        <v>2010.400024</v>
      </c>
      <c r="C330" s="4">
        <v>47.565092</v>
      </c>
      <c r="D330" s="4">
        <v>596.08269199999995</v>
      </c>
      <c r="F330" s="4">
        <v>-4.7726961218230723E-4</v>
      </c>
      <c r="G330" s="4">
        <v>-2.043703120902185E-3</v>
      </c>
      <c r="H330" s="4">
        <v>-2.043703120902185E-3</v>
      </c>
    </row>
    <row r="331" spans="1:8" x14ac:dyDescent="0.25">
      <c r="A331" s="8">
        <v>41904</v>
      </c>
      <c r="B331" s="4">
        <v>1994.290039</v>
      </c>
      <c r="C331" s="4">
        <v>47.117004999999999</v>
      </c>
      <c r="D331" s="4">
        <v>587.37264800000003</v>
      </c>
      <c r="F331" s="4">
        <v>-8.0133231235974822E-3</v>
      </c>
      <c r="G331" s="4">
        <v>-9.4205010683044987E-3</v>
      </c>
      <c r="H331" s="4">
        <v>-9.4205010683044987E-3</v>
      </c>
    </row>
    <row r="332" spans="1:8" x14ac:dyDescent="0.25">
      <c r="A332" s="8">
        <v>41905</v>
      </c>
      <c r="B332" s="4">
        <v>1982.7700199999999</v>
      </c>
      <c r="C332" s="4">
        <v>46.805295000000001</v>
      </c>
      <c r="D332" s="4">
        <v>581.13263400000005</v>
      </c>
      <c r="F332" s="4">
        <v>-5.7765012985656616E-3</v>
      </c>
      <c r="G332" s="4">
        <v>-6.615658189649265E-3</v>
      </c>
      <c r="H332" s="4">
        <v>-6.615658189649265E-3</v>
      </c>
    </row>
    <row r="333" spans="1:8" x14ac:dyDescent="0.25">
      <c r="A333" s="8">
        <v>41906</v>
      </c>
      <c r="B333" s="4">
        <v>1998.3000489999999</v>
      </c>
      <c r="C333" s="4">
        <v>47.155970000000003</v>
      </c>
      <c r="D333" s="4">
        <v>587.99263399999995</v>
      </c>
      <c r="F333" s="4">
        <v>7.8324913345220182E-3</v>
      </c>
      <c r="G333" s="4">
        <v>7.4922078794719127E-3</v>
      </c>
      <c r="H333" s="4">
        <v>7.4922078794719127E-3</v>
      </c>
    </row>
    <row r="334" spans="1:8" x14ac:dyDescent="0.25">
      <c r="A334" s="8">
        <v>41907</v>
      </c>
      <c r="B334" s="4">
        <v>1965.98999</v>
      </c>
      <c r="C334" s="4">
        <v>46.464362999999999</v>
      </c>
      <c r="D334" s="4">
        <v>575.06258100000002</v>
      </c>
      <c r="F334" s="4">
        <v>-1.61687725605415E-2</v>
      </c>
      <c r="G334" s="4">
        <v>-1.4666372041546527E-2</v>
      </c>
      <c r="H334" s="4">
        <v>-1.4666372041546527E-2</v>
      </c>
    </row>
    <row r="335" spans="1:8" x14ac:dyDescent="0.25">
      <c r="A335" s="8">
        <v>41908</v>
      </c>
      <c r="B335" s="4">
        <v>1982.849976</v>
      </c>
      <c r="C335" s="4">
        <v>46.824776999999997</v>
      </c>
      <c r="D335" s="4">
        <v>577.10260000000005</v>
      </c>
      <c r="F335" s="4">
        <v>8.5758249460872182E-3</v>
      </c>
      <c r="G335" s="4">
        <v>7.7567834083940301E-3</v>
      </c>
      <c r="H335" s="4">
        <v>7.7567834083940301E-3</v>
      </c>
    </row>
    <row r="336" spans="1:8" x14ac:dyDescent="0.25">
      <c r="A336" s="8">
        <v>41911</v>
      </c>
      <c r="B336" s="4">
        <v>1977.8000489999999</v>
      </c>
      <c r="C336" s="4">
        <v>46.737107999999999</v>
      </c>
      <c r="D336" s="4">
        <v>576.36259399999994</v>
      </c>
      <c r="F336" s="4">
        <v>-2.5468023608055113E-3</v>
      </c>
      <c r="G336" s="4">
        <v>-1.8722780035876907E-3</v>
      </c>
      <c r="H336" s="4">
        <v>-1.8722780035876907E-3</v>
      </c>
    </row>
    <row r="337" spans="1:8" x14ac:dyDescent="0.25">
      <c r="A337" s="8">
        <v>41912</v>
      </c>
      <c r="B337" s="4">
        <v>1972.290039</v>
      </c>
      <c r="C337" s="4">
        <v>46.522806000000003</v>
      </c>
      <c r="D337" s="4">
        <v>577.36258999999995</v>
      </c>
      <c r="F337" s="4">
        <v>-2.7859287407672184E-3</v>
      </c>
      <c r="G337" s="4">
        <v>-4.5852644541034548E-3</v>
      </c>
      <c r="H337" s="4">
        <v>-4.5852644541034548E-3</v>
      </c>
    </row>
    <row r="338" spans="1:8" x14ac:dyDescent="0.25">
      <c r="A338" s="8">
        <v>41913</v>
      </c>
      <c r="B338" s="4">
        <v>1946.160034</v>
      </c>
      <c r="C338" s="4">
        <v>45.909129</v>
      </c>
      <c r="D338" s="4">
        <v>568.27259700000002</v>
      </c>
      <c r="F338" s="4">
        <v>-1.3248561055071106E-2</v>
      </c>
      <c r="G338" s="4">
        <v>-1.3190885347715287E-2</v>
      </c>
      <c r="H338" s="4">
        <v>-1.3190885347715287E-2</v>
      </c>
    </row>
    <row r="339" spans="1:8" x14ac:dyDescent="0.25">
      <c r="A339" s="8">
        <v>41914</v>
      </c>
      <c r="B339" s="4">
        <v>1946.170044</v>
      </c>
      <c r="C339" s="4">
        <v>45.957833000000001</v>
      </c>
      <c r="D339" s="4">
        <v>570.08261500000003</v>
      </c>
      <c r="F339" s="4">
        <v>5.1434619070533927E-6</v>
      </c>
      <c r="G339" s="4">
        <v>1.060878327706849E-3</v>
      </c>
      <c r="H339" s="4">
        <v>1.060878327706849E-3</v>
      </c>
    </row>
    <row r="340" spans="1:8" x14ac:dyDescent="0.25">
      <c r="A340" s="8">
        <v>41915</v>
      </c>
      <c r="B340" s="4">
        <v>1967.900024</v>
      </c>
      <c r="C340" s="4">
        <v>46.415658999999998</v>
      </c>
      <c r="D340" s="4">
        <v>575.28260599999999</v>
      </c>
      <c r="F340" s="4">
        <v>1.1165509440962396E-2</v>
      </c>
      <c r="G340" s="4">
        <v>9.9618709176301223E-3</v>
      </c>
      <c r="H340" s="4">
        <v>9.9618709176301223E-3</v>
      </c>
    </row>
    <row r="341" spans="1:8" x14ac:dyDescent="0.25">
      <c r="A341" s="8">
        <v>41918</v>
      </c>
      <c r="B341" s="4">
        <v>1964.8199460000001</v>
      </c>
      <c r="C341" s="4">
        <v>46.308508000000003</v>
      </c>
      <c r="D341" s="4">
        <v>577.35261400000002</v>
      </c>
      <c r="F341" s="4">
        <v>-1.5651597959429608E-3</v>
      </c>
      <c r="G341" s="4">
        <v>-2.3085097208249694E-3</v>
      </c>
      <c r="H341" s="4">
        <v>-2.3085097208249694E-3</v>
      </c>
    </row>
    <row r="342" spans="1:8" x14ac:dyDescent="0.25">
      <c r="A342" s="8">
        <v>41919</v>
      </c>
      <c r="B342" s="4">
        <v>1935.099976</v>
      </c>
      <c r="C342" s="4">
        <v>45.587674999999997</v>
      </c>
      <c r="D342" s="4">
        <v>563.74253399999998</v>
      </c>
      <c r="F342" s="4">
        <v>-1.5126052674955925E-2</v>
      </c>
      <c r="G342" s="4">
        <v>-1.5565886942416896E-2</v>
      </c>
      <c r="H342" s="4">
        <v>-1.5565886942416896E-2</v>
      </c>
    </row>
    <row r="343" spans="1:8" x14ac:dyDescent="0.25">
      <c r="A343" s="8">
        <v>41920</v>
      </c>
      <c r="B343" s="4">
        <v>1968.8900149999999</v>
      </c>
      <c r="C343" s="4">
        <v>46.357211999999997</v>
      </c>
      <c r="D343" s="4">
        <v>572.50258199999996</v>
      </c>
      <c r="F343" s="4">
        <v>1.7461650260492734E-2</v>
      </c>
      <c r="G343" s="4">
        <v>1.6880373916853708E-2</v>
      </c>
      <c r="H343" s="4">
        <v>1.6880373916853708E-2</v>
      </c>
    </row>
    <row r="344" spans="1:8" x14ac:dyDescent="0.25">
      <c r="A344" s="8">
        <v>41921</v>
      </c>
      <c r="B344" s="4">
        <v>1928.209961</v>
      </c>
      <c r="C344" s="4">
        <v>45.324669</v>
      </c>
      <c r="D344" s="4">
        <v>560.88257899999996</v>
      </c>
      <c r="F344" s="4">
        <v>-2.0661415157819274E-2</v>
      </c>
      <c r="G344" s="4">
        <v>-2.2273621631947904E-2</v>
      </c>
      <c r="H344" s="4">
        <v>-2.2273621631947904E-2</v>
      </c>
    </row>
    <row r="345" spans="1:8" x14ac:dyDescent="0.25">
      <c r="A345" s="8">
        <v>41922</v>
      </c>
      <c r="B345" s="4">
        <v>1906.130005</v>
      </c>
      <c r="C345" s="4">
        <v>44.769435000000001</v>
      </c>
      <c r="D345" s="4">
        <v>544.49247600000001</v>
      </c>
      <c r="F345" s="4">
        <v>-1.1451012310168207E-2</v>
      </c>
      <c r="G345" s="4">
        <v>-1.2250150133473636E-2</v>
      </c>
      <c r="H345" s="4">
        <v>-1.2250150133473636E-2</v>
      </c>
    </row>
    <row r="346" spans="1:8" x14ac:dyDescent="0.25">
      <c r="A346" s="8">
        <v>41925</v>
      </c>
      <c r="B346" s="4">
        <v>1874.73999</v>
      </c>
      <c r="C346" s="4">
        <v>44.009641000000002</v>
      </c>
      <c r="D346" s="4">
        <v>533.21245599999997</v>
      </c>
      <c r="F346" s="4">
        <v>-1.646792974123501E-2</v>
      </c>
      <c r="G346" s="4">
        <v>-1.6971266222144621E-2</v>
      </c>
      <c r="H346" s="4">
        <v>-1.6971266222144621E-2</v>
      </c>
    </row>
    <row r="347" spans="1:8" x14ac:dyDescent="0.25">
      <c r="A347" s="8">
        <v>41926</v>
      </c>
      <c r="B347" s="4">
        <v>1877.6999510000001</v>
      </c>
      <c r="C347" s="4">
        <v>44.253165000000003</v>
      </c>
      <c r="D347" s="4">
        <v>537.942408</v>
      </c>
      <c r="F347" s="4">
        <v>1.5788648110077741E-3</v>
      </c>
      <c r="G347" s="4">
        <v>5.5334239150008901E-3</v>
      </c>
      <c r="H347" s="4">
        <v>5.5334239150008901E-3</v>
      </c>
    </row>
    <row r="348" spans="1:8" x14ac:dyDescent="0.25">
      <c r="A348" s="8">
        <v>41927</v>
      </c>
      <c r="B348" s="4">
        <v>1862.48999</v>
      </c>
      <c r="C348" s="4">
        <v>44.038862999999999</v>
      </c>
      <c r="D348" s="4">
        <v>530.03240900000003</v>
      </c>
      <c r="F348" s="4">
        <v>-8.1003149581485578E-3</v>
      </c>
      <c r="G348" s="4">
        <v>-4.8426366792071462E-3</v>
      </c>
      <c r="H348" s="4">
        <v>-4.8426366792071462E-3</v>
      </c>
    </row>
    <row r="349" spans="1:8" x14ac:dyDescent="0.25">
      <c r="A349" s="8">
        <v>41928</v>
      </c>
      <c r="B349" s="4">
        <v>1862.76001</v>
      </c>
      <c r="C349" s="4">
        <v>44.204461000000002</v>
      </c>
      <c r="D349" s="4">
        <v>524.51238699999999</v>
      </c>
      <c r="F349" s="4">
        <v>1.4497796039147914E-4</v>
      </c>
      <c r="G349" s="4">
        <v>3.7602696509217992E-3</v>
      </c>
      <c r="H349" s="4">
        <v>3.7602696509217992E-3</v>
      </c>
    </row>
    <row r="350" spans="1:8" x14ac:dyDescent="0.25">
      <c r="A350" s="8">
        <v>41929</v>
      </c>
      <c r="B350" s="4">
        <v>1886.76001</v>
      </c>
      <c r="C350" s="4">
        <v>44.691509000000003</v>
      </c>
      <c r="D350" s="4">
        <v>511.17233499999998</v>
      </c>
      <c r="F350" s="4">
        <v>1.2884107384289356E-2</v>
      </c>
      <c r="G350" s="4">
        <v>1.1018073492627956E-2</v>
      </c>
      <c r="H350" s="4">
        <v>1.1018073492627956E-2</v>
      </c>
    </row>
    <row r="351" spans="1:8" x14ac:dyDescent="0.25">
      <c r="A351" s="8">
        <v>41932</v>
      </c>
      <c r="B351" s="4">
        <v>1904.01001</v>
      </c>
      <c r="C351" s="4">
        <v>45.159075000000001</v>
      </c>
      <c r="D351" s="4">
        <v>520.84240999999997</v>
      </c>
      <c r="F351" s="4">
        <v>9.1426572052477617E-3</v>
      </c>
      <c r="G351" s="4">
        <v>1.0462076811950993E-2</v>
      </c>
      <c r="H351" s="4">
        <v>1.0462076811950993E-2</v>
      </c>
    </row>
    <row r="352" spans="1:8" x14ac:dyDescent="0.25">
      <c r="A352" s="8">
        <v>41933</v>
      </c>
      <c r="B352" s="4">
        <v>1941.280029</v>
      </c>
      <c r="C352" s="4">
        <v>46.113688000000003</v>
      </c>
      <c r="D352" s="4">
        <v>526.54236900000001</v>
      </c>
      <c r="F352" s="4">
        <v>1.9574486900938215E-2</v>
      </c>
      <c r="G352" s="4">
        <v>2.1138896224070169E-2</v>
      </c>
      <c r="H352" s="4">
        <v>2.1138896224070169E-2</v>
      </c>
    </row>
    <row r="353" spans="1:8" x14ac:dyDescent="0.25">
      <c r="A353" s="8">
        <v>41934</v>
      </c>
      <c r="B353" s="4">
        <v>1927.1099850000001</v>
      </c>
      <c r="C353" s="4">
        <v>45.704566</v>
      </c>
      <c r="D353" s="4">
        <v>532.71242700000005</v>
      </c>
      <c r="F353" s="4">
        <v>-7.2993302297037488E-3</v>
      </c>
      <c r="G353" s="4">
        <v>-8.8720294937156829E-3</v>
      </c>
      <c r="H353" s="4">
        <v>-8.8720294937156829E-3</v>
      </c>
    </row>
    <row r="354" spans="1:8" x14ac:dyDescent="0.25">
      <c r="A354" s="8">
        <v>41935</v>
      </c>
      <c r="B354" s="4">
        <v>1950.8199460000001</v>
      </c>
      <c r="C354" s="4">
        <v>46.279282000000002</v>
      </c>
      <c r="D354" s="4">
        <v>543.98240999999996</v>
      </c>
      <c r="F354" s="4">
        <v>1.2303377173358276E-2</v>
      </c>
      <c r="G354" s="4">
        <v>1.257458609277684E-2</v>
      </c>
      <c r="H354" s="4">
        <v>1.257458609277684E-2</v>
      </c>
    </row>
    <row r="355" spans="1:8" x14ac:dyDescent="0.25">
      <c r="A355" s="8">
        <v>41936</v>
      </c>
      <c r="B355" s="4">
        <v>1964.579956</v>
      </c>
      <c r="C355" s="4">
        <v>46.600735999999998</v>
      </c>
      <c r="D355" s="4">
        <v>539.78247599999997</v>
      </c>
      <c r="F355" s="4">
        <v>7.0534495139922271E-3</v>
      </c>
      <c r="G355" s="4">
        <v>6.9459591010940791E-3</v>
      </c>
      <c r="H355" s="4">
        <v>6.9459591010940791E-3</v>
      </c>
    </row>
    <row r="356" spans="1:8" x14ac:dyDescent="0.25">
      <c r="A356" s="8">
        <v>41939</v>
      </c>
      <c r="B356" s="4">
        <v>1961.630005</v>
      </c>
      <c r="C356" s="4">
        <v>46.503328000000003</v>
      </c>
      <c r="D356" s="4">
        <v>540.77249600000005</v>
      </c>
      <c r="F356" s="4">
        <v>-1.5015683077650444E-3</v>
      </c>
      <c r="G356" s="4">
        <v>-2.090267415518765E-3</v>
      </c>
      <c r="H356" s="4">
        <v>-2.090267415518765E-3</v>
      </c>
    </row>
    <row r="357" spans="1:8" x14ac:dyDescent="0.25">
      <c r="A357" s="8">
        <v>41940</v>
      </c>
      <c r="B357" s="4">
        <v>1985.0500489999999</v>
      </c>
      <c r="C357" s="4">
        <v>47.097523000000002</v>
      </c>
      <c r="D357" s="4">
        <v>548.90251899999998</v>
      </c>
      <c r="F357" s="4">
        <v>1.1939073087332774E-2</v>
      </c>
      <c r="G357" s="4">
        <v>1.2777472614433183E-2</v>
      </c>
      <c r="H357" s="4">
        <v>1.2777472614433183E-2</v>
      </c>
    </row>
    <row r="358" spans="1:8" x14ac:dyDescent="0.25">
      <c r="A358" s="8">
        <v>41941</v>
      </c>
      <c r="B358" s="4">
        <v>1982.3000489999999</v>
      </c>
      <c r="C358" s="4">
        <v>47.000115000000001</v>
      </c>
      <c r="D358" s="4">
        <v>549.33253200000001</v>
      </c>
      <c r="F358" s="4">
        <v>-1.3853554984093464E-3</v>
      </c>
      <c r="G358" s="4">
        <v>-2.0682191715263309E-3</v>
      </c>
      <c r="H358" s="4">
        <v>-2.0682191715263309E-3</v>
      </c>
    </row>
    <row r="359" spans="1:8" x14ac:dyDescent="0.25">
      <c r="A359" s="8">
        <v>41942</v>
      </c>
      <c r="B359" s="4">
        <v>1994.650024</v>
      </c>
      <c r="C359" s="4">
        <v>47.331307000000002</v>
      </c>
      <c r="D359" s="4">
        <v>550.31251399999996</v>
      </c>
      <c r="F359" s="4">
        <v>6.2301239442688061E-3</v>
      </c>
      <c r="G359" s="4">
        <v>7.0466210561399567E-3</v>
      </c>
      <c r="H359" s="4">
        <v>7.0466210561399567E-3</v>
      </c>
    </row>
    <row r="360" spans="1:8" x14ac:dyDescent="0.25">
      <c r="A360" s="8">
        <v>41943</v>
      </c>
      <c r="B360" s="4">
        <v>2018.0500489999999</v>
      </c>
      <c r="C360" s="4">
        <v>47.915762999999998</v>
      </c>
      <c r="D360" s="4">
        <v>559.082538</v>
      </c>
      <c r="F360" s="4">
        <v>1.1731393837739246E-2</v>
      </c>
      <c r="G360" s="4">
        <v>1.2348190596131126E-2</v>
      </c>
      <c r="H360" s="4">
        <v>1.2348190596131126E-2</v>
      </c>
    </row>
    <row r="361" spans="1:8" x14ac:dyDescent="0.25">
      <c r="A361" s="8">
        <v>41946</v>
      </c>
      <c r="B361" s="4">
        <v>2017.8100589999999</v>
      </c>
      <c r="C361" s="4">
        <v>47.915762999999998</v>
      </c>
      <c r="D361" s="4">
        <v>555.22246399999995</v>
      </c>
      <c r="F361" s="4">
        <v>-1.1892172848682048E-4</v>
      </c>
      <c r="G361" s="4">
        <v>0</v>
      </c>
      <c r="H361" s="4">
        <v>0</v>
      </c>
    </row>
    <row r="362" spans="1:8" x14ac:dyDescent="0.25">
      <c r="A362" s="8">
        <v>41947</v>
      </c>
      <c r="B362" s="4">
        <v>2012.099976</v>
      </c>
      <c r="C362" s="4">
        <v>47.701464999999999</v>
      </c>
      <c r="D362" s="4">
        <v>554.11248599999999</v>
      </c>
      <c r="F362" s="4">
        <v>-2.8298416763913314E-3</v>
      </c>
      <c r="G362" s="4">
        <v>-4.4723904323510366E-3</v>
      </c>
      <c r="H362" s="4">
        <v>-4.4723904323510366E-3</v>
      </c>
    </row>
    <row r="363" spans="1:8" x14ac:dyDescent="0.25">
      <c r="A363" s="8">
        <v>41948</v>
      </c>
      <c r="B363" s="4">
        <v>2023.5699460000001</v>
      </c>
      <c r="C363" s="4">
        <v>48.052140000000001</v>
      </c>
      <c r="D363" s="4">
        <v>545.92242299999998</v>
      </c>
      <c r="F363" s="4">
        <v>5.7004970611858052E-3</v>
      </c>
      <c r="G363" s="4">
        <v>7.3514513652779279E-3</v>
      </c>
      <c r="H363" s="4">
        <v>7.3514513652779279E-3</v>
      </c>
    </row>
    <row r="364" spans="1:8" x14ac:dyDescent="0.25">
      <c r="A364" s="8">
        <v>41949</v>
      </c>
      <c r="B364" s="4">
        <v>2031.209961</v>
      </c>
      <c r="C364" s="4">
        <v>48.266438000000001</v>
      </c>
      <c r="D364" s="4">
        <v>542.04245800000001</v>
      </c>
      <c r="F364" s="4">
        <v>3.7755131791228358E-3</v>
      </c>
      <c r="G364" s="4">
        <v>4.4596973204522605E-3</v>
      </c>
      <c r="H364" s="4">
        <v>4.4596973204522605E-3</v>
      </c>
    </row>
    <row r="365" spans="1:8" x14ac:dyDescent="0.25">
      <c r="A365" s="8">
        <v>41950</v>
      </c>
      <c r="B365" s="4">
        <v>2031.920044</v>
      </c>
      <c r="C365" s="4">
        <v>48.305402999999998</v>
      </c>
      <c r="D365" s="4">
        <v>541.012473</v>
      </c>
      <c r="F365" s="4">
        <v>3.4958621394820533E-4</v>
      </c>
      <c r="G365" s="4">
        <v>8.0728973619303979E-4</v>
      </c>
      <c r="H365" s="4">
        <v>8.0728973619303979E-4</v>
      </c>
    </row>
    <row r="366" spans="1:8" x14ac:dyDescent="0.25">
      <c r="A366" s="8">
        <v>41953</v>
      </c>
      <c r="B366" s="4">
        <v>2038.26001</v>
      </c>
      <c r="C366" s="4">
        <v>48.441775999999997</v>
      </c>
      <c r="D366" s="4">
        <v>547.49246300000004</v>
      </c>
      <c r="F366" s="4">
        <v>3.1201847822315276E-3</v>
      </c>
      <c r="G366" s="4">
        <v>2.8231417508306489E-3</v>
      </c>
      <c r="H366" s="4">
        <v>2.8231417508306489E-3</v>
      </c>
    </row>
    <row r="367" spans="1:8" x14ac:dyDescent="0.25">
      <c r="A367" s="8">
        <v>41954</v>
      </c>
      <c r="B367" s="4">
        <v>2039.6800539999999</v>
      </c>
      <c r="C367" s="4">
        <v>48.461258000000001</v>
      </c>
      <c r="D367" s="4">
        <v>550.29244000000006</v>
      </c>
      <c r="F367" s="4">
        <v>6.9669423578599954E-4</v>
      </c>
      <c r="G367" s="4">
        <v>4.0217352889793112E-4</v>
      </c>
      <c r="H367" s="4">
        <v>4.0217352889793112E-4</v>
      </c>
    </row>
    <row r="368" spans="1:8" x14ac:dyDescent="0.25">
      <c r="A368" s="8">
        <v>41955</v>
      </c>
      <c r="B368" s="4">
        <v>2038.25</v>
      </c>
      <c r="C368" s="4">
        <v>48.461258000000001</v>
      </c>
      <c r="D368" s="4">
        <v>547.31246499999997</v>
      </c>
      <c r="F368" s="4">
        <v>-7.011168232956555E-4</v>
      </c>
      <c r="G368" s="4">
        <v>0</v>
      </c>
      <c r="H368" s="4">
        <v>0</v>
      </c>
    </row>
    <row r="369" spans="1:8" x14ac:dyDescent="0.25">
      <c r="A369" s="8">
        <v>41956</v>
      </c>
      <c r="B369" s="4">
        <v>2039.329956</v>
      </c>
      <c r="C369" s="4">
        <v>48.383329000000003</v>
      </c>
      <c r="D369" s="4">
        <v>545.38248999999996</v>
      </c>
      <c r="F369" s="4">
        <v>5.2984471973505087E-4</v>
      </c>
      <c r="G369" s="4">
        <v>-1.60806803653335E-3</v>
      </c>
      <c r="H369" s="4">
        <v>-1.60806803653335E-3</v>
      </c>
    </row>
    <row r="370" spans="1:8" x14ac:dyDescent="0.25">
      <c r="A370" s="8">
        <v>41957</v>
      </c>
      <c r="B370" s="4">
        <v>2039.8199460000001</v>
      </c>
      <c r="C370" s="4">
        <v>48.393071999999997</v>
      </c>
      <c r="D370" s="4">
        <v>544.40250700000001</v>
      </c>
      <c r="F370" s="4">
        <v>2.4027009388971621E-4</v>
      </c>
      <c r="G370" s="4">
        <v>2.0137101355710563E-4</v>
      </c>
      <c r="H370" s="4">
        <v>2.0137101355710563E-4</v>
      </c>
    </row>
    <row r="371" spans="1:8" x14ac:dyDescent="0.25">
      <c r="A371" s="8">
        <v>41960</v>
      </c>
      <c r="B371" s="4">
        <v>2041.3199460000001</v>
      </c>
      <c r="C371" s="4">
        <v>48.461258000000001</v>
      </c>
      <c r="D371" s="4">
        <v>536.51246100000003</v>
      </c>
      <c r="F371" s="4">
        <v>7.3535902173205159E-4</v>
      </c>
      <c r="G371" s="4">
        <v>1.4090033383291622E-3</v>
      </c>
      <c r="H371" s="4">
        <v>1.4090033383291622E-3</v>
      </c>
    </row>
    <row r="372" spans="1:8" x14ac:dyDescent="0.25">
      <c r="A372" s="8">
        <v>41961</v>
      </c>
      <c r="B372" s="4">
        <v>2051.8000489999999</v>
      </c>
      <c r="C372" s="4">
        <v>48.743746999999999</v>
      </c>
      <c r="D372" s="4">
        <v>535.03244900000004</v>
      </c>
      <c r="F372" s="4">
        <v>5.1339835387078647E-3</v>
      </c>
      <c r="G372" s="4">
        <v>5.8291718304135376E-3</v>
      </c>
      <c r="H372" s="4">
        <v>5.8291718304135376E-3</v>
      </c>
    </row>
    <row r="373" spans="1:8" x14ac:dyDescent="0.25">
      <c r="A373" s="8">
        <v>41962</v>
      </c>
      <c r="B373" s="4">
        <v>2048.719971</v>
      </c>
      <c r="C373" s="4">
        <v>48.675559999999997</v>
      </c>
      <c r="D373" s="4">
        <v>536.99241500000005</v>
      </c>
      <c r="F373" s="4">
        <v>-1.5011589465070418E-3</v>
      </c>
      <c r="G373" s="4">
        <v>-1.398887122896042E-3</v>
      </c>
      <c r="H373" s="4">
        <v>-1.398887122896042E-3</v>
      </c>
    </row>
    <row r="374" spans="1:8" x14ac:dyDescent="0.25">
      <c r="A374" s="8">
        <v>41963</v>
      </c>
      <c r="B374" s="4">
        <v>2052.75</v>
      </c>
      <c r="C374" s="4">
        <v>48.831415999999997</v>
      </c>
      <c r="D374" s="4">
        <v>534.83243800000002</v>
      </c>
      <c r="F374" s="4">
        <v>1.9670960682991456E-3</v>
      </c>
      <c r="G374" s="4">
        <v>3.2019354271424216E-3</v>
      </c>
      <c r="H374" s="4">
        <v>3.2019354271424216E-3</v>
      </c>
    </row>
    <row r="375" spans="1:8" x14ac:dyDescent="0.25">
      <c r="A375" s="8">
        <v>41964</v>
      </c>
      <c r="B375" s="4">
        <v>2063.5</v>
      </c>
      <c r="C375" s="4">
        <v>49.123643999999999</v>
      </c>
      <c r="D375" s="4">
        <v>537.50241900000003</v>
      </c>
      <c r="F375" s="4">
        <v>5.2368773596394025E-3</v>
      </c>
      <c r="G375" s="4">
        <v>5.9844260915964398E-3</v>
      </c>
      <c r="H375" s="4">
        <v>5.9844260915964398E-3</v>
      </c>
    </row>
    <row r="376" spans="1:8" x14ac:dyDescent="0.25">
      <c r="A376" s="8">
        <v>41967</v>
      </c>
      <c r="B376" s="4">
        <v>2069.4099120000001</v>
      </c>
      <c r="C376" s="4">
        <v>49.289237999999997</v>
      </c>
      <c r="D376" s="4">
        <v>539.272471</v>
      </c>
      <c r="F376" s="4">
        <v>2.8640232614489669E-3</v>
      </c>
      <c r="G376" s="4">
        <v>3.3709632778871068E-3</v>
      </c>
      <c r="H376" s="4">
        <v>3.3709632778871068E-3</v>
      </c>
    </row>
    <row r="377" spans="1:8" x14ac:dyDescent="0.25">
      <c r="A377" s="8">
        <v>41968</v>
      </c>
      <c r="B377" s="4">
        <v>2067.030029</v>
      </c>
      <c r="C377" s="4">
        <v>49.240533999999997</v>
      </c>
      <c r="D377" s="4">
        <v>541.08248900000001</v>
      </c>
      <c r="F377" s="4">
        <v>-1.1500297675195448E-3</v>
      </c>
      <c r="G377" s="4">
        <v>-9.8812645470403027E-4</v>
      </c>
      <c r="H377" s="4">
        <v>-9.8812645470403027E-4</v>
      </c>
    </row>
    <row r="378" spans="1:8" x14ac:dyDescent="0.25">
      <c r="A378" s="8">
        <v>41969</v>
      </c>
      <c r="B378" s="4">
        <v>2072.830078</v>
      </c>
      <c r="C378" s="4">
        <v>49.308720000000001</v>
      </c>
      <c r="D378" s="4">
        <v>540.37241200000005</v>
      </c>
      <c r="F378" s="4">
        <v>2.8059819734722602E-3</v>
      </c>
      <c r="G378" s="4">
        <v>1.3847534634778835E-3</v>
      </c>
      <c r="H378" s="4">
        <v>1.3847534634778835E-3</v>
      </c>
    </row>
    <row r="379" spans="1:8" x14ac:dyDescent="0.25">
      <c r="A379" s="8">
        <v>41971</v>
      </c>
      <c r="B379" s="4">
        <v>2067.5600589999999</v>
      </c>
      <c r="C379" s="4">
        <v>49.172348</v>
      </c>
      <c r="D379" s="4">
        <v>541.83247100000006</v>
      </c>
      <c r="F379" s="4">
        <v>-2.5424269243935482E-3</v>
      </c>
      <c r="G379" s="4">
        <v>-2.7656771459491081E-3</v>
      </c>
      <c r="H379" s="4">
        <v>-2.7656771459491081E-3</v>
      </c>
    </row>
    <row r="380" spans="1:8" x14ac:dyDescent="0.25">
      <c r="A380" s="8">
        <v>41974</v>
      </c>
      <c r="B380" s="4">
        <v>2053.4399410000001</v>
      </c>
      <c r="C380" s="4">
        <v>48.782711999999997</v>
      </c>
      <c r="D380" s="4">
        <v>533.80239099999994</v>
      </c>
      <c r="F380" s="4">
        <v>-6.8293629191256144E-3</v>
      </c>
      <c r="G380" s="4">
        <v>-7.9238843750150112E-3</v>
      </c>
      <c r="H380" s="4">
        <v>-7.9238843750150112E-3</v>
      </c>
    </row>
    <row r="381" spans="1:8" x14ac:dyDescent="0.25">
      <c r="A381" s="8">
        <v>41975</v>
      </c>
      <c r="B381" s="4">
        <v>2066.5500489999999</v>
      </c>
      <c r="C381" s="4">
        <v>49.065196</v>
      </c>
      <c r="D381" s="4">
        <v>533.75238899999999</v>
      </c>
      <c r="F381" s="4">
        <v>6.3844613802610528E-3</v>
      </c>
      <c r="G381" s="4">
        <v>5.7906579691593407E-3</v>
      </c>
      <c r="H381" s="4">
        <v>5.7906579691593407E-3</v>
      </c>
    </row>
    <row r="382" spans="1:8" x14ac:dyDescent="0.25">
      <c r="A382" s="8">
        <v>41976</v>
      </c>
      <c r="B382" s="4">
        <v>2074.330078</v>
      </c>
      <c r="C382" s="4">
        <v>49.376907000000003</v>
      </c>
      <c r="D382" s="4">
        <v>531.32238400000006</v>
      </c>
      <c r="F382" s="4">
        <v>3.7647425978213356E-3</v>
      </c>
      <c r="G382" s="4">
        <v>6.3529961237698274E-3</v>
      </c>
      <c r="H382" s="4">
        <v>6.3529961237698274E-3</v>
      </c>
    </row>
    <row r="383" spans="1:8" x14ac:dyDescent="0.25">
      <c r="A383" s="8">
        <v>41977</v>
      </c>
      <c r="B383" s="4">
        <v>2071.919922</v>
      </c>
      <c r="C383" s="4">
        <v>49.269759000000001</v>
      </c>
      <c r="D383" s="4">
        <v>537.31244500000003</v>
      </c>
      <c r="F383" s="4">
        <v>-1.1618960866265349E-3</v>
      </c>
      <c r="G383" s="4">
        <v>-2.1700022644188799E-3</v>
      </c>
      <c r="H383" s="4">
        <v>-2.1700022644188799E-3</v>
      </c>
    </row>
    <row r="384" spans="1:8" x14ac:dyDescent="0.25">
      <c r="A384" s="8">
        <v>41978</v>
      </c>
      <c r="B384" s="4">
        <v>2075.3701169999999</v>
      </c>
      <c r="C384" s="4">
        <v>49.357424000000002</v>
      </c>
      <c r="D384" s="4">
        <v>525.26236900000004</v>
      </c>
      <c r="F384" s="4">
        <v>1.6652163837824752E-3</v>
      </c>
      <c r="G384" s="4">
        <v>1.7792861540077975E-3</v>
      </c>
      <c r="H384" s="4">
        <v>1.7792861540077975E-3</v>
      </c>
    </row>
    <row r="385" spans="1:8" x14ac:dyDescent="0.25">
      <c r="A385" s="8">
        <v>41981</v>
      </c>
      <c r="B385" s="4">
        <v>2060.3100589999999</v>
      </c>
      <c r="C385" s="4">
        <v>48.977528</v>
      </c>
      <c r="D385" s="4">
        <v>526.98235699999998</v>
      </c>
      <c r="F385" s="4">
        <v>-7.2565649262453791E-3</v>
      </c>
      <c r="G385" s="4">
        <v>-7.6968360423348425E-3</v>
      </c>
      <c r="H385" s="4">
        <v>-7.6968360423348425E-3</v>
      </c>
    </row>
    <row r="386" spans="1:8" x14ac:dyDescent="0.25">
      <c r="A386" s="8">
        <v>41982</v>
      </c>
      <c r="B386" s="4">
        <v>2059.820068</v>
      </c>
      <c r="C386" s="4">
        <v>49.055456999999997</v>
      </c>
      <c r="D386" s="4">
        <v>533.37243999999998</v>
      </c>
      <c r="F386" s="4">
        <v>-2.3782391289095539E-4</v>
      </c>
      <c r="G386" s="4">
        <v>1.5911174610527823E-3</v>
      </c>
      <c r="H386" s="4">
        <v>1.5911174610527823E-3</v>
      </c>
    </row>
    <row r="387" spans="1:8" x14ac:dyDescent="0.25">
      <c r="A387" s="8">
        <v>41983</v>
      </c>
      <c r="B387" s="4">
        <v>2026.1400149999999</v>
      </c>
      <c r="C387" s="4">
        <v>48.227474000000001</v>
      </c>
      <c r="D387" s="4">
        <v>526.06235300000003</v>
      </c>
      <c r="F387" s="4">
        <v>-1.6350968476922301E-2</v>
      </c>
      <c r="G387" s="4">
        <v>-1.6878509561127797E-2</v>
      </c>
      <c r="H387" s="4">
        <v>-1.6878509561127797E-2</v>
      </c>
    </row>
    <row r="388" spans="1:8" x14ac:dyDescent="0.25">
      <c r="A388" s="8">
        <v>41984</v>
      </c>
      <c r="B388" s="4">
        <v>2035.329956</v>
      </c>
      <c r="C388" s="4">
        <v>48.470998000000002</v>
      </c>
      <c r="D388" s="4">
        <v>528.34240999999997</v>
      </c>
      <c r="F388" s="4">
        <v>4.5356890106136305E-3</v>
      </c>
      <c r="G388" s="4">
        <v>5.0494869376738194E-3</v>
      </c>
      <c r="H388" s="4">
        <v>5.0494869376738194E-3</v>
      </c>
    </row>
    <row r="389" spans="1:8" x14ac:dyDescent="0.25">
      <c r="A389" s="8">
        <v>41985</v>
      </c>
      <c r="B389" s="4">
        <v>2002.329956</v>
      </c>
      <c r="C389" s="4">
        <v>47.689999</v>
      </c>
      <c r="D389" s="4">
        <v>518.66229799999996</v>
      </c>
      <c r="F389" s="4">
        <v>-1.6213587336401436E-2</v>
      </c>
      <c r="G389" s="4">
        <v>-1.6112707231652257E-2</v>
      </c>
      <c r="H389" s="4">
        <v>-1.6112707231652257E-2</v>
      </c>
    </row>
    <row r="390" spans="1:8" x14ac:dyDescent="0.25">
      <c r="A390" s="8">
        <v>41988</v>
      </c>
      <c r="B390" s="4">
        <v>1989.630005</v>
      </c>
      <c r="C390" s="4">
        <v>47.470001000000003</v>
      </c>
      <c r="D390" s="4">
        <v>513.80228999999997</v>
      </c>
      <c r="F390" s="4">
        <v>-6.3425865262338732E-3</v>
      </c>
      <c r="G390" s="4">
        <v>-4.6130846008194393E-3</v>
      </c>
      <c r="H390" s="4">
        <v>-4.6130846008194393E-3</v>
      </c>
    </row>
    <row r="391" spans="1:8" x14ac:dyDescent="0.25">
      <c r="A391" s="8">
        <v>41989</v>
      </c>
      <c r="B391" s="4">
        <v>1972.73999</v>
      </c>
      <c r="C391" s="4">
        <v>47.16</v>
      </c>
      <c r="D391" s="4">
        <v>495.39227299999999</v>
      </c>
      <c r="F391" s="4">
        <v>-8.4890230633609676E-3</v>
      </c>
      <c r="G391" s="4">
        <v>-6.530461206436633E-3</v>
      </c>
      <c r="H391" s="4">
        <v>-6.530461206436633E-3</v>
      </c>
    </row>
    <row r="392" spans="1:8" x14ac:dyDescent="0.25">
      <c r="A392" s="8">
        <v>41990</v>
      </c>
      <c r="B392" s="4">
        <v>2012.8900149999999</v>
      </c>
      <c r="C392" s="4">
        <v>48.150002000000001</v>
      </c>
      <c r="D392" s="4">
        <v>504.89229499999999</v>
      </c>
      <c r="F392" s="4">
        <v>2.0352416032282106E-2</v>
      </c>
      <c r="G392" s="4">
        <v>2.0992408821034925E-2</v>
      </c>
      <c r="H392" s="4">
        <v>2.0992408821034925E-2</v>
      </c>
    </row>
    <row r="393" spans="1:8" x14ac:dyDescent="0.25">
      <c r="A393" s="8">
        <v>41991</v>
      </c>
      <c r="B393" s="4">
        <v>2061.2299800000001</v>
      </c>
      <c r="C393" s="4">
        <v>49.189999</v>
      </c>
      <c r="D393" s="4">
        <v>511.10231900000002</v>
      </c>
      <c r="F393" s="4">
        <v>2.4015204327992201E-2</v>
      </c>
      <c r="G393" s="4">
        <v>2.1599106060265605E-2</v>
      </c>
      <c r="H393" s="4">
        <v>2.1599106060265605E-2</v>
      </c>
    </row>
    <row r="394" spans="1:8" x14ac:dyDescent="0.25">
      <c r="A394" s="8">
        <v>41992</v>
      </c>
      <c r="B394" s="4">
        <v>2070.6499020000001</v>
      </c>
      <c r="C394" s="4">
        <v>49.470001000000003</v>
      </c>
      <c r="D394" s="4">
        <v>516.35231299999998</v>
      </c>
      <c r="F394" s="4">
        <v>4.5700489956972401E-3</v>
      </c>
      <c r="G394" s="4">
        <v>5.6922546389968076E-3</v>
      </c>
      <c r="H394" s="4">
        <v>5.6922546389968076E-3</v>
      </c>
    </row>
    <row r="395" spans="1:8" x14ac:dyDescent="0.25">
      <c r="A395" s="8">
        <v>41995</v>
      </c>
      <c r="B395" s="4">
        <v>2078.540039</v>
      </c>
      <c r="C395" s="4">
        <v>49.619999</v>
      </c>
      <c r="D395" s="4">
        <v>524.87238300000001</v>
      </c>
      <c r="F395" s="4">
        <v>3.8104640443461513E-3</v>
      </c>
      <c r="G395" s="4">
        <v>3.0321002014936926E-3</v>
      </c>
      <c r="H395" s="4">
        <v>3.0321002014936926E-3</v>
      </c>
    </row>
    <row r="396" spans="1:8" x14ac:dyDescent="0.25">
      <c r="A396" s="8">
        <v>41996</v>
      </c>
      <c r="B396" s="4">
        <v>2082.169922</v>
      </c>
      <c r="C396" s="4">
        <v>49.810001</v>
      </c>
      <c r="D396" s="4">
        <v>530.59241599999996</v>
      </c>
      <c r="F396" s="4">
        <v>1.7463618366218014E-3</v>
      </c>
      <c r="G396" s="4">
        <v>3.8291415523810102E-3</v>
      </c>
      <c r="H396" s="4">
        <v>3.8291415523810102E-3</v>
      </c>
    </row>
    <row r="397" spans="1:8" x14ac:dyDescent="0.25">
      <c r="A397" s="8">
        <v>41997</v>
      </c>
      <c r="B397" s="4">
        <v>2081.8798830000001</v>
      </c>
      <c r="C397" s="4">
        <v>49.790000999999997</v>
      </c>
      <c r="D397" s="4">
        <v>528.77242200000001</v>
      </c>
      <c r="F397" s="4">
        <v>-1.3929650838551133E-4</v>
      </c>
      <c r="G397" s="4">
        <v>-4.0152578997143529E-4</v>
      </c>
      <c r="H397" s="4">
        <v>-4.0152578997143529E-4</v>
      </c>
    </row>
    <row r="398" spans="1:8" x14ac:dyDescent="0.25">
      <c r="A398" s="8">
        <v>41999</v>
      </c>
      <c r="B398" s="4">
        <v>2088.7700199999999</v>
      </c>
      <c r="C398" s="4">
        <v>49.919998</v>
      </c>
      <c r="D398" s="4">
        <v>534.03245400000003</v>
      </c>
      <c r="F398" s="4">
        <v>3.3095747051798963E-3</v>
      </c>
      <c r="G398" s="4">
        <v>2.610905751940118E-3</v>
      </c>
      <c r="H398" s="4">
        <v>2.610905751940118E-3</v>
      </c>
    </row>
    <row r="399" spans="1:8" x14ac:dyDescent="0.25">
      <c r="A399" s="8">
        <v>42002</v>
      </c>
      <c r="B399" s="4">
        <v>2090.570068</v>
      </c>
      <c r="C399" s="4">
        <v>50.049999</v>
      </c>
      <c r="D399" s="4">
        <v>530.33242600000005</v>
      </c>
      <c r="F399" s="4">
        <v>8.617741459158168E-4</v>
      </c>
      <c r="G399" s="4">
        <v>2.6041868030524107E-3</v>
      </c>
      <c r="H399" s="4">
        <v>2.6041868030524107E-3</v>
      </c>
    </row>
    <row r="400" spans="1:8" x14ac:dyDescent="0.25">
      <c r="A400" s="8">
        <v>42003</v>
      </c>
      <c r="B400" s="4">
        <v>2080.3500979999999</v>
      </c>
      <c r="C400" s="4">
        <v>49.779998999999997</v>
      </c>
      <c r="D400" s="4">
        <v>530.42239400000005</v>
      </c>
      <c r="F400" s="4">
        <v>-4.8886043842468752E-3</v>
      </c>
      <c r="G400" s="4">
        <v>-5.3946055023897932E-3</v>
      </c>
      <c r="H400" s="4">
        <v>-5.3946055023897932E-3</v>
      </c>
    </row>
    <row r="401" spans="1:8" x14ac:dyDescent="0.25">
      <c r="A401" s="8">
        <v>42004</v>
      </c>
      <c r="B401" s="4">
        <v>2058.8999020000001</v>
      </c>
      <c r="C401" s="4">
        <v>49.310001</v>
      </c>
      <c r="D401" s="4">
        <v>526.40239699999995</v>
      </c>
      <c r="F401" s="4">
        <v>-1.0310858744699503E-2</v>
      </c>
      <c r="G401" s="4">
        <v>-9.4415028011550772E-3</v>
      </c>
      <c r="H401" s="4">
        <v>-9.4415028011550772E-3</v>
      </c>
    </row>
    <row r="402" spans="1:8" x14ac:dyDescent="0.25">
      <c r="A402" s="8">
        <v>42006</v>
      </c>
      <c r="B402" s="4">
        <v>2058.1999510000001</v>
      </c>
      <c r="C402" s="4">
        <v>49.299999</v>
      </c>
      <c r="D402" s="4">
        <v>524.81240400000002</v>
      </c>
      <c r="F402" s="4">
        <v>-3.3996358896326573E-4</v>
      </c>
      <c r="G402" s="4">
        <v>-2.0283917658003858E-4</v>
      </c>
      <c r="H402" s="4">
        <v>-2.0283917658003858E-4</v>
      </c>
    </row>
    <row r="403" spans="1:8" x14ac:dyDescent="0.25">
      <c r="A403" s="8">
        <v>42009</v>
      </c>
      <c r="B403" s="4">
        <v>2020.579956</v>
      </c>
      <c r="C403" s="4">
        <v>48.310001</v>
      </c>
      <c r="D403" s="4">
        <v>513.87230599999998</v>
      </c>
      <c r="F403" s="4">
        <v>-1.8278105089703178E-2</v>
      </c>
      <c r="G403" s="4">
        <v>-2.0081095742010002E-2</v>
      </c>
      <c r="H403" s="4">
        <v>-2.0081095742010002E-2</v>
      </c>
    </row>
    <row r="404" spans="1:8" x14ac:dyDescent="0.25">
      <c r="A404" s="8">
        <v>42010</v>
      </c>
      <c r="B404" s="4">
        <v>2002.6099850000001</v>
      </c>
      <c r="C404" s="4">
        <v>47.82</v>
      </c>
      <c r="D404" s="4">
        <v>501.96226200000001</v>
      </c>
      <c r="F404" s="4">
        <v>-8.8934718701129123E-3</v>
      </c>
      <c r="G404" s="4">
        <v>-1.014284806162602E-2</v>
      </c>
      <c r="H404" s="4">
        <v>-1.014284806162602E-2</v>
      </c>
    </row>
    <row r="405" spans="1:8" x14ac:dyDescent="0.25">
      <c r="A405" s="8">
        <v>42011</v>
      </c>
      <c r="B405" s="4">
        <v>2025.900024</v>
      </c>
      <c r="C405" s="4">
        <v>48.369999</v>
      </c>
      <c r="D405" s="4">
        <v>501.10226799999998</v>
      </c>
      <c r="F405" s="4">
        <v>1.1629842642575161E-2</v>
      </c>
      <c r="G405" s="4">
        <v>1.1501442910915927E-2</v>
      </c>
      <c r="H405" s="4">
        <v>1.1501442910915927E-2</v>
      </c>
    </row>
    <row r="406" spans="1:8" x14ac:dyDescent="0.25">
      <c r="A406" s="8">
        <v>42012</v>
      </c>
      <c r="B406" s="4">
        <v>2062.139893</v>
      </c>
      <c r="C406" s="4">
        <v>49.23</v>
      </c>
      <c r="D406" s="4">
        <v>502.682255</v>
      </c>
      <c r="F406" s="4">
        <v>1.7888281045797649E-2</v>
      </c>
      <c r="G406" s="4">
        <v>1.7779636505677709E-2</v>
      </c>
      <c r="H406" s="4">
        <v>1.7779636505677709E-2</v>
      </c>
    </row>
    <row r="407" spans="1:8" x14ac:dyDescent="0.25">
      <c r="A407" s="8">
        <v>42013</v>
      </c>
      <c r="B407" s="4">
        <v>2044.8100589999999</v>
      </c>
      <c r="C407" s="4">
        <v>48.82</v>
      </c>
      <c r="D407" s="4">
        <v>496.17227400000002</v>
      </c>
      <c r="F407" s="4">
        <v>-8.4038110405733057E-3</v>
      </c>
      <c r="G407" s="4">
        <v>-8.3282551289862727E-3</v>
      </c>
      <c r="H407" s="4">
        <v>-8.3282551289862727E-3</v>
      </c>
    </row>
    <row r="408" spans="1:8" x14ac:dyDescent="0.25">
      <c r="A408" s="8">
        <v>42016</v>
      </c>
      <c r="B408" s="4">
        <v>2028.26001</v>
      </c>
      <c r="C408" s="4">
        <v>48.360000999999997</v>
      </c>
      <c r="D408" s="4">
        <v>492.552209</v>
      </c>
      <c r="F408" s="4">
        <v>-8.0936852433588502E-3</v>
      </c>
      <c r="G408" s="4">
        <v>-9.4223473986071449E-3</v>
      </c>
      <c r="H408" s="4">
        <v>-9.4223473986071449E-3</v>
      </c>
    </row>
    <row r="409" spans="1:8" x14ac:dyDescent="0.25">
      <c r="A409" s="8">
        <v>42017</v>
      </c>
      <c r="B409" s="4">
        <v>2023.030029</v>
      </c>
      <c r="C409" s="4">
        <v>48.209999000000003</v>
      </c>
      <c r="D409" s="4">
        <v>496.18225100000001</v>
      </c>
      <c r="F409" s="4">
        <v>-2.5785554979215197E-3</v>
      </c>
      <c r="G409" s="4">
        <v>-3.1017782650581971E-3</v>
      </c>
      <c r="H409" s="4">
        <v>-3.1017782650581971E-3</v>
      </c>
    </row>
    <row r="410" spans="1:8" x14ac:dyDescent="0.25">
      <c r="A410" s="8">
        <v>42018</v>
      </c>
      <c r="B410" s="4">
        <v>2011.2700199999999</v>
      </c>
      <c r="C410" s="4">
        <v>47.970001000000003</v>
      </c>
      <c r="D410" s="4">
        <v>500.87226700000002</v>
      </c>
      <c r="F410" s="4">
        <v>-5.813066949783785E-3</v>
      </c>
      <c r="G410" s="4">
        <v>-4.9781789043389368E-3</v>
      </c>
      <c r="H410" s="4">
        <v>-4.9781789043389368E-3</v>
      </c>
    </row>
    <row r="411" spans="1:8" x14ac:dyDescent="0.25">
      <c r="A411" s="8">
        <v>42019</v>
      </c>
      <c r="B411" s="4">
        <v>1992.670044</v>
      </c>
      <c r="C411" s="4">
        <v>47.529998999999997</v>
      </c>
      <c r="D411" s="4">
        <v>501.79227100000003</v>
      </c>
      <c r="F411" s="4">
        <v>-9.2478761255537778E-3</v>
      </c>
      <c r="G411" s="4">
        <v>-9.1724409178145505E-3</v>
      </c>
      <c r="H411" s="4">
        <v>-9.1724409178145505E-3</v>
      </c>
    </row>
    <row r="412" spans="1:8" x14ac:dyDescent="0.25">
      <c r="A412" s="8">
        <v>42020</v>
      </c>
      <c r="B412" s="4">
        <v>2019.420044</v>
      </c>
      <c r="C412" s="4">
        <v>48.209999000000003</v>
      </c>
      <c r="D412" s="4">
        <v>508.08228800000001</v>
      </c>
      <c r="F412" s="4">
        <v>1.342419939545203E-2</v>
      </c>
      <c r="G412" s="4">
        <v>1.4306753930291682E-2</v>
      </c>
      <c r="H412" s="4">
        <v>1.4306753930291682E-2</v>
      </c>
    </row>
    <row r="413" spans="1:8" x14ac:dyDescent="0.25">
      <c r="A413" s="8">
        <v>42024</v>
      </c>
      <c r="B413" s="4">
        <v>2022.5500489999999</v>
      </c>
      <c r="C413" s="4">
        <v>48.18</v>
      </c>
      <c r="D413" s="4">
        <v>506.90229399999998</v>
      </c>
      <c r="F413" s="4">
        <v>1.5499524278268506E-3</v>
      </c>
      <c r="G413" s="4">
        <v>-6.2225680610372702E-4</v>
      </c>
      <c r="H413" s="4">
        <v>-6.2225680610372702E-4</v>
      </c>
    </row>
    <row r="414" spans="1:8" x14ac:dyDescent="0.25">
      <c r="A414" s="8">
        <v>42025</v>
      </c>
      <c r="B414" s="4">
        <v>2032.119995</v>
      </c>
      <c r="C414" s="4">
        <v>48.540000999999997</v>
      </c>
      <c r="D414" s="4">
        <v>518.04231200000004</v>
      </c>
      <c r="F414" s="4">
        <v>4.7316238254433429E-3</v>
      </c>
      <c r="G414" s="4">
        <v>7.472000830220038E-3</v>
      </c>
      <c r="H414" s="4">
        <v>7.472000830220038E-3</v>
      </c>
    </row>
    <row r="415" spans="1:8" x14ac:dyDescent="0.25">
      <c r="A415" s="8">
        <v>42026</v>
      </c>
      <c r="B415" s="4">
        <v>2063.1499020000001</v>
      </c>
      <c r="C415" s="4">
        <v>49.200001</v>
      </c>
      <c r="D415" s="4">
        <v>534.39245000000005</v>
      </c>
      <c r="F415" s="4">
        <v>1.5269721805970526E-2</v>
      </c>
      <c r="G415" s="4">
        <v>1.35970330944164E-2</v>
      </c>
      <c r="H415" s="4">
        <v>1.35970330944164E-2</v>
      </c>
    </row>
    <row r="416" spans="1:8" x14ac:dyDescent="0.25">
      <c r="A416" s="8">
        <v>42027</v>
      </c>
      <c r="B416" s="4">
        <v>2051.820068</v>
      </c>
      <c r="C416" s="4">
        <v>48.939999</v>
      </c>
      <c r="D416" s="4">
        <v>539.95243700000003</v>
      </c>
      <c r="F416" s="4">
        <v>-5.4915224477954938E-3</v>
      </c>
      <c r="G416" s="4">
        <v>-5.2845933885244945E-3</v>
      </c>
      <c r="H416" s="4">
        <v>-5.2845933885244945E-3</v>
      </c>
    </row>
    <row r="417" spans="1:8" x14ac:dyDescent="0.25">
      <c r="A417" s="8">
        <v>42030</v>
      </c>
      <c r="B417" s="4">
        <v>2057.0900879999999</v>
      </c>
      <c r="C417" s="4">
        <v>49.18</v>
      </c>
      <c r="D417" s="4">
        <v>535.21244799999999</v>
      </c>
      <c r="F417" s="4">
        <v>2.5684610859357804E-3</v>
      </c>
      <c r="G417" s="4">
        <v>4.9039845709846208E-3</v>
      </c>
      <c r="H417" s="4">
        <v>4.9039845709846208E-3</v>
      </c>
    </row>
    <row r="418" spans="1:8" x14ac:dyDescent="0.25">
      <c r="A418" s="8">
        <v>42031</v>
      </c>
      <c r="B418" s="4">
        <v>2029.5500489999999</v>
      </c>
      <c r="C418" s="4">
        <v>48.790000999999997</v>
      </c>
      <c r="D418" s="4">
        <v>518.63237000000004</v>
      </c>
      <c r="F418" s="4">
        <v>-1.338786237931644E-2</v>
      </c>
      <c r="G418" s="4">
        <v>-7.9300325335502908E-3</v>
      </c>
      <c r="H418" s="4">
        <v>-7.9300325335502908E-3</v>
      </c>
    </row>
    <row r="419" spans="1:8" x14ac:dyDescent="0.25">
      <c r="A419" s="8">
        <v>42032</v>
      </c>
      <c r="B419" s="4">
        <v>2002.160034</v>
      </c>
      <c r="C419" s="4">
        <v>48.07</v>
      </c>
      <c r="D419" s="4">
        <v>510.002318</v>
      </c>
      <c r="F419" s="4">
        <v>-1.3495609538427322E-2</v>
      </c>
      <c r="G419" s="4">
        <v>-1.4757142554680303E-2</v>
      </c>
      <c r="H419" s="4">
        <v>-1.4757142554680303E-2</v>
      </c>
    </row>
    <row r="420" spans="1:8" x14ac:dyDescent="0.25">
      <c r="A420" s="8">
        <v>42033</v>
      </c>
      <c r="B420" s="4">
        <v>2021.25</v>
      </c>
      <c r="C420" s="4">
        <v>48.509998000000003</v>
      </c>
      <c r="D420" s="4">
        <v>510.66233099999999</v>
      </c>
      <c r="F420" s="4">
        <v>9.5346853777025231E-3</v>
      </c>
      <c r="G420" s="4">
        <v>9.1532764718120774E-3</v>
      </c>
      <c r="H420" s="4">
        <v>9.1532764718120774E-3</v>
      </c>
    </row>
    <row r="421" spans="1:8" x14ac:dyDescent="0.25">
      <c r="A421" s="8">
        <v>42034</v>
      </c>
      <c r="B421" s="4">
        <v>1994.98999</v>
      </c>
      <c r="C421" s="4">
        <v>47.91</v>
      </c>
      <c r="D421" s="4">
        <v>534.52244499999995</v>
      </c>
      <c r="F421" s="4">
        <v>-1.2991965367965319E-2</v>
      </c>
      <c r="G421" s="4">
        <v>-1.2368543078480565E-2</v>
      </c>
      <c r="H421" s="4">
        <v>-1.2368543078480565E-2</v>
      </c>
    </row>
    <row r="422" spans="1:8" x14ac:dyDescent="0.25">
      <c r="A422" s="8">
        <v>42037</v>
      </c>
      <c r="B422" s="4">
        <v>2020.849976</v>
      </c>
      <c r="C422" s="4">
        <v>48.549999</v>
      </c>
      <c r="D422" s="4">
        <v>528.48238100000003</v>
      </c>
      <c r="F422" s="4">
        <v>1.2962464037225452E-2</v>
      </c>
      <c r="G422" s="4">
        <v>1.3358359423919941E-2</v>
      </c>
      <c r="H422" s="4">
        <v>1.3358359423919941E-2</v>
      </c>
    </row>
    <row r="423" spans="1:8" x14ac:dyDescent="0.25">
      <c r="A423" s="8">
        <v>42038</v>
      </c>
      <c r="B423" s="4">
        <v>2050.030029</v>
      </c>
      <c r="C423" s="4">
        <v>49.389999000000003</v>
      </c>
      <c r="D423" s="4">
        <v>529.24239999999998</v>
      </c>
      <c r="F423" s="4">
        <v>1.4439494938539577E-2</v>
      </c>
      <c r="G423" s="4">
        <v>1.7301751128769416E-2</v>
      </c>
      <c r="H423" s="4">
        <v>1.7301751128769416E-2</v>
      </c>
    </row>
    <row r="424" spans="1:8" x14ac:dyDescent="0.25">
      <c r="A424" s="8">
        <v>42039</v>
      </c>
      <c r="B424" s="4">
        <v>2041.51001</v>
      </c>
      <c r="C424" s="4">
        <v>49.130001</v>
      </c>
      <c r="D424" s="4">
        <v>522.76234899999997</v>
      </c>
      <c r="F424" s="4">
        <v>-4.1560459502908431E-3</v>
      </c>
      <c r="G424" s="4">
        <v>-5.2641831395866534E-3</v>
      </c>
      <c r="H424" s="4">
        <v>-5.2641831395866534E-3</v>
      </c>
    </row>
    <row r="425" spans="1:8" x14ac:dyDescent="0.25">
      <c r="A425" s="8">
        <v>42040</v>
      </c>
      <c r="B425" s="4">
        <v>2062.5200199999999</v>
      </c>
      <c r="C425" s="4">
        <v>49.68</v>
      </c>
      <c r="D425" s="4">
        <v>527.58239100000003</v>
      </c>
      <c r="F425" s="4">
        <v>1.0291406800400527E-2</v>
      </c>
      <c r="G425" s="4">
        <v>1.1194768752396334E-2</v>
      </c>
      <c r="H425" s="4">
        <v>1.1194768752396334E-2</v>
      </c>
    </row>
    <row r="426" spans="1:8" x14ac:dyDescent="0.25">
      <c r="A426" s="8">
        <v>42041</v>
      </c>
      <c r="B426" s="4">
        <v>2055.469971</v>
      </c>
      <c r="C426" s="4">
        <v>49.490001999999997</v>
      </c>
      <c r="D426" s="4">
        <v>531.00241500000004</v>
      </c>
      <c r="F426" s="4">
        <v>-3.4181723966975053E-3</v>
      </c>
      <c r="G426" s="4">
        <v>-3.8244363929147429E-3</v>
      </c>
      <c r="H426" s="4">
        <v>-3.8244363929147429E-3</v>
      </c>
    </row>
    <row r="427" spans="1:8" x14ac:dyDescent="0.25">
      <c r="A427" s="8">
        <v>42044</v>
      </c>
      <c r="B427" s="4">
        <v>2046.73999</v>
      </c>
      <c r="C427" s="4">
        <v>49.32</v>
      </c>
      <c r="D427" s="4">
        <v>527.83240599999999</v>
      </c>
      <c r="F427" s="4">
        <v>-4.2471946188310516E-3</v>
      </c>
      <c r="G427" s="4">
        <v>-3.4350776546745454E-3</v>
      </c>
      <c r="H427" s="4">
        <v>-3.4350776546745454E-3</v>
      </c>
    </row>
    <row r="428" spans="1:8" x14ac:dyDescent="0.25">
      <c r="A428" s="8">
        <v>42045</v>
      </c>
      <c r="B428" s="4">
        <v>2068.5900879999999</v>
      </c>
      <c r="C428" s="4">
        <v>49.810001</v>
      </c>
      <c r="D428" s="4">
        <v>536.94241199999999</v>
      </c>
      <c r="F428" s="4">
        <v>1.0675561188404625E-2</v>
      </c>
      <c r="G428" s="4">
        <v>9.935137875101363E-3</v>
      </c>
      <c r="H428" s="4">
        <v>9.935137875101363E-3</v>
      </c>
    </row>
    <row r="429" spans="1:8" x14ac:dyDescent="0.25">
      <c r="A429" s="8">
        <v>42046</v>
      </c>
      <c r="B429" s="4">
        <v>2068.530029</v>
      </c>
      <c r="C429" s="4">
        <v>49.75</v>
      </c>
      <c r="D429" s="4">
        <v>535.97240499999998</v>
      </c>
      <c r="F429" s="4">
        <v>-2.9033785063692363E-5</v>
      </c>
      <c r="G429" s="4">
        <v>-1.2045974462036035E-3</v>
      </c>
      <c r="H429" s="4">
        <v>-1.2045974462036035E-3</v>
      </c>
    </row>
    <row r="430" spans="1:8" x14ac:dyDescent="0.25">
      <c r="A430" s="8">
        <v>42047</v>
      </c>
      <c r="B430" s="4">
        <v>2088.4799800000001</v>
      </c>
      <c r="C430" s="4">
        <v>50.279998999999997</v>
      </c>
      <c r="D430" s="4">
        <v>542.93247199999996</v>
      </c>
      <c r="F430" s="4">
        <v>9.6445063500696371E-3</v>
      </c>
      <c r="G430" s="4">
        <v>1.0653246231155711E-2</v>
      </c>
      <c r="H430" s="4">
        <v>1.0653246231155711E-2</v>
      </c>
    </row>
    <row r="431" spans="1:8" x14ac:dyDescent="0.25">
      <c r="A431" s="8">
        <v>42048</v>
      </c>
      <c r="B431" s="4">
        <v>2096.98999</v>
      </c>
      <c r="C431" s="4">
        <v>50.509998000000003</v>
      </c>
      <c r="D431" s="4">
        <v>549.01250100000004</v>
      </c>
      <c r="F431" s="4">
        <v>4.0747386048680667E-3</v>
      </c>
      <c r="G431" s="4">
        <v>4.5743636550192868E-3</v>
      </c>
      <c r="H431" s="4">
        <v>4.5743636550192868E-3</v>
      </c>
    </row>
    <row r="432" spans="1:8" x14ac:dyDescent="0.25">
      <c r="A432" s="8">
        <v>42052</v>
      </c>
      <c r="B432" s="4">
        <v>2100.3400879999999</v>
      </c>
      <c r="C432" s="4">
        <v>50.619999</v>
      </c>
      <c r="D432" s="4">
        <v>542.84250399999996</v>
      </c>
      <c r="F432" s="4">
        <v>1.5975746264769164E-3</v>
      </c>
      <c r="G432" s="4">
        <v>2.1778064612079095E-3</v>
      </c>
      <c r="H432" s="4">
        <v>2.1778064612079095E-3</v>
      </c>
    </row>
    <row r="433" spans="1:8" x14ac:dyDescent="0.25">
      <c r="A433" s="8">
        <v>42053</v>
      </c>
      <c r="B433" s="4">
        <v>2099.679932</v>
      </c>
      <c r="C433" s="4">
        <v>50.650002000000001</v>
      </c>
      <c r="D433" s="4">
        <v>539.70242199999996</v>
      </c>
      <c r="F433" s="4">
        <v>-3.1430909868912504E-4</v>
      </c>
      <c r="G433" s="4">
        <v>5.9271040285868715E-4</v>
      </c>
      <c r="H433" s="4">
        <v>5.9271040285868715E-4</v>
      </c>
    </row>
    <row r="434" spans="1:8" x14ac:dyDescent="0.25">
      <c r="A434" s="8">
        <v>42054</v>
      </c>
      <c r="B434" s="4">
        <v>2097.4499510000001</v>
      </c>
      <c r="C434" s="4">
        <v>50.619999</v>
      </c>
      <c r="D434" s="4">
        <v>542.872432</v>
      </c>
      <c r="F434" s="4">
        <v>-1.0620575860226245E-3</v>
      </c>
      <c r="G434" s="4">
        <v>-5.9235930533629855E-4</v>
      </c>
      <c r="H434" s="4">
        <v>-5.9235930533629855E-4</v>
      </c>
    </row>
    <row r="435" spans="1:8" x14ac:dyDescent="0.25">
      <c r="A435" s="8">
        <v>42055</v>
      </c>
      <c r="B435" s="4">
        <v>2110.3000489999999</v>
      </c>
      <c r="C435" s="4">
        <v>50.91</v>
      </c>
      <c r="D435" s="4">
        <v>538.95244100000002</v>
      </c>
      <c r="F435" s="4">
        <v>6.1265337911273754E-3</v>
      </c>
      <c r="G435" s="4">
        <v>5.7289807532394654E-3</v>
      </c>
      <c r="H435" s="4">
        <v>5.7289807532394654E-3</v>
      </c>
    </row>
    <row r="436" spans="1:8" x14ac:dyDescent="0.25">
      <c r="A436" s="8">
        <v>42058</v>
      </c>
      <c r="B436" s="4">
        <v>2109.6599120000001</v>
      </c>
      <c r="C436" s="4">
        <v>50.849997999999999</v>
      </c>
      <c r="D436" s="4">
        <v>531.91238099999998</v>
      </c>
      <c r="F436" s="4">
        <v>-3.0333932859605284E-4</v>
      </c>
      <c r="G436" s="4">
        <v>-1.1785896680416297E-3</v>
      </c>
      <c r="H436" s="4">
        <v>-1.1785896680416297E-3</v>
      </c>
    </row>
    <row r="437" spans="1:8" x14ac:dyDescent="0.25">
      <c r="A437" s="8">
        <v>42059</v>
      </c>
      <c r="B437" s="4">
        <v>2115.4799800000001</v>
      </c>
      <c r="C437" s="4">
        <v>50.939999</v>
      </c>
      <c r="D437" s="4">
        <v>536.09242400000005</v>
      </c>
      <c r="F437" s="4">
        <v>2.7587707226623959E-3</v>
      </c>
      <c r="G437" s="4">
        <v>1.7699312397219114E-3</v>
      </c>
      <c r="H437" s="4">
        <v>1.7699312397219114E-3</v>
      </c>
    </row>
    <row r="438" spans="1:8" x14ac:dyDescent="0.25">
      <c r="A438" s="8">
        <v>42060</v>
      </c>
      <c r="B438" s="4">
        <v>2113.860107</v>
      </c>
      <c r="C438" s="4">
        <v>50.93</v>
      </c>
      <c r="D438" s="4">
        <v>543.87248899999997</v>
      </c>
      <c r="F438" s="4">
        <v>-7.6572362551974305E-4</v>
      </c>
      <c r="G438" s="4">
        <v>-1.9628975650354263E-4</v>
      </c>
      <c r="H438" s="4">
        <v>-1.9628975650354263E-4</v>
      </c>
    </row>
    <row r="439" spans="1:8" x14ac:dyDescent="0.25">
      <c r="A439" s="8">
        <v>42061</v>
      </c>
      <c r="B439" s="4">
        <v>2110.73999</v>
      </c>
      <c r="C439" s="4">
        <v>50.73</v>
      </c>
      <c r="D439" s="4">
        <v>555.48251600000003</v>
      </c>
      <c r="F439" s="4">
        <v>-1.4760281390748808E-3</v>
      </c>
      <c r="G439" s="4">
        <v>-3.9269585705871135E-3</v>
      </c>
      <c r="H439" s="4">
        <v>-3.9269585705871135E-3</v>
      </c>
    </row>
    <row r="440" spans="1:8" x14ac:dyDescent="0.25">
      <c r="A440" s="8">
        <v>42062</v>
      </c>
      <c r="B440" s="4">
        <v>2104.5</v>
      </c>
      <c r="C440" s="4">
        <v>50.639999000000003</v>
      </c>
      <c r="D440" s="4">
        <v>558.40257199999996</v>
      </c>
      <c r="F440" s="4">
        <v>-2.9563044380468417E-3</v>
      </c>
      <c r="G440" s="4">
        <v>-1.7741178789669743E-3</v>
      </c>
      <c r="H440" s="4">
        <v>-1.7741178789669743E-3</v>
      </c>
    </row>
    <row r="441" spans="1:8" x14ac:dyDescent="0.25">
      <c r="A441" s="8">
        <v>42065</v>
      </c>
      <c r="B441" s="4">
        <v>2117.389893</v>
      </c>
      <c r="C441" s="4">
        <v>50.91</v>
      </c>
      <c r="D441" s="4">
        <v>571.34260099999995</v>
      </c>
      <c r="F441" s="4">
        <v>6.1249194583037347E-3</v>
      </c>
      <c r="G441" s="4">
        <v>5.3317734070255085E-3</v>
      </c>
      <c r="H441" s="4">
        <v>5.3317734070255085E-3</v>
      </c>
    </row>
    <row r="442" spans="1:8" x14ac:dyDescent="0.25">
      <c r="A442" s="8">
        <v>42066</v>
      </c>
      <c r="B442" s="4">
        <v>2107.780029</v>
      </c>
      <c r="C442" s="4">
        <v>50.689999</v>
      </c>
      <c r="D442" s="4">
        <v>573.64260999999999</v>
      </c>
      <c r="F442" s="4">
        <v>-4.5385424912860461E-3</v>
      </c>
      <c r="G442" s="4">
        <v>-4.3213710469455213E-3</v>
      </c>
      <c r="H442" s="4">
        <v>-4.3213710469455213E-3</v>
      </c>
    </row>
    <row r="443" spans="1:8" x14ac:dyDescent="0.25">
      <c r="A443" s="8">
        <v>42067</v>
      </c>
      <c r="B443" s="4">
        <v>2098.530029</v>
      </c>
      <c r="C443" s="4">
        <v>50.439999</v>
      </c>
      <c r="D443" s="4">
        <v>573.37258299999996</v>
      </c>
      <c r="F443" s="4">
        <v>-4.3885034836337322E-3</v>
      </c>
      <c r="G443" s="4">
        <v>-4.9319393358047137E-3</v>
      </c>
      <c r="H443" s="4">
        <v>-4.9319393358047137E-3</v>
      </c>
    </row>
    <row r="444" spans="1:8" x14ac:dyDescent="0.25">
      <c r="A444" s="8">
        <v>42068</v>
      </c>
      <c r="B444" s="4">
        <v>2101.040039</v>
      </c>
      <c r="C444" s="4">
        <v>50.540000999999997</v>
      </c>
      <c r="D444" s="4">
        <v>575.33260900000005</v>
      </c>
      <c r="F444" s="4">
        <v>1.1960800966932528E-3</v>
      </c>
      <c r="G444" s="4">
        <v>1.9825932193218154E-3</v>
      </c>
      <c r="H444" s="4">
        <v>1.9825932193218154E-3</v>
      </c>
    </row>
    <row r="445" spans="1:8" x14ac:dyDescent="0.25">
      <c r="A445" s="8">
        <v>42069</v>
      </c>
      <c r="B445" s="4">
        <v>2071.26001</v>
      </c>
      <c r="C445" s="4">
        <v>49.779998999999997</v>
      </c>
      <c r="D445" s="4">
        <v>567.68755799999997</v>
      </c>
      <c r="F445" s="4">
        <v>-1.4173946449004382E-2</v>
      </c>
      <c r="G445" s="4">
        <v>-1.503763326003893E-2</v>
      </c>
      <c r="H445" s="4">
        <v>-1.503763326003893E-2</v>
      </c>
    </row>
    <row r="446" spans="1:8" x14ac:dyDescent="0.25">
      <c r="A446" s="8">
        <v>42072</v>
      </c>
      <c r="B446" s="4">
        <v>2079.429932</v>
      </c>
      <c r="C446" s="4">
        <v>49.919998</v>
      </c>
      <c r="D446" s="4">
        <v>568.85255700000005</v>
      </c>
      <c r="F446" s="4">
        <v>3.9444212511012822E-3</v>
      </c>
      <c r="G446" s="4">
        <v>2.8123544156761771E-3</v>
      </c>
      <c r="H446" s="4">
        <v>2.8123544156761771E-3</v>
      </c>
    </row>
    <row r="447" spans="1:8" x14ac:dyDescent="0.25">
      <c r="A447" s="8">
        <v>42073</v>
      </c>
      <c r="B447" s="4">
        <v>2044.160034</v>
      </c>
      <c r="C447" s="4">
        <v>49.150002000000001</v>
      </c>
      <c r="D447" s="4">
        <v>555.01253799999995</v>
      </c>
      <c r="F447" s="4">
        <v>-1.6961330342146863E-2</v>
      </c>
      <c r="G447" s="4">
        <v>-1.5424599976947118E-2</v>
      </c>
      <c r="H447" s="4">
        <v>-1.5424599976947118E-2</v>
      </c>
    </row>
    <row r="448" spans="1:8" x14ac:dyDescent="0.25">
      <c r="A448" s="8">
        <v>42074</v>
      </c>
      <c r="B448" s="4">
        <v>2040.23999</v>
      </c>
      <c r="C448" s="4">
        <v>49.150002000000001</v>
      </c>
      <c r="D448" s="4">
        <v>551.18251499999997</v>
      </c>
      <c r="F448" s="4">
        <v>-1.9176796017918996E-3</v>
      </c>
      <c r="G448" s="4">
        <v>0</v>
      </c>
      <c r="H448" s="4">
        <v>0</v>
      </c>
    </row>
    <row r="449" spans="1:8" x14ac:dyDescent="0.25">
      <c r="A449" s="8">
        <v>42075</v>
      </c>
      <c r="B449" s="4">
        <v>2065.9499510000001</v>
      </c>
      <c r="C449" s="4">
        <v>49.779998999999997</v>
      </c>
      <c r="D449" s="4">
        <v>555.51250500000003</v>
      </c>
      <c r="F449" s="4">
        <v>1.2601439598289632E-2</v>
      </c>
      <c r="G449" s="4">
        <v>1.2817842815143754E-2</v>
      </c>
      <c r="H449" s="4">
        <v>1.2817842815143754E-2</v>
      </c>
    </row>
    <row r="450" spans="1:8" x14ac:dyDescent="0.25">
      <c r="A450" s="8">
        <v>42076</v>
      </c>
      <c r="B450" s="4">
        <v>2053.3999020000001</v>
      </c>
      <c r="C450" s="4">
        <v>49.459999000000003</v>
      </c>
      <c r="D450" s="4">
        <v>547.32250299999998</v>
      </c>
      <c r="F450" s="4">
        <v>-6.074711051894166E-3</v>
      </c>
      <c r="G450" s="4">
        <v>-6.4282845807207556E-3</v>
      </c>
      <c r="H450" s="4">
        <v>-6.4282845807207556E-3</v>
      </c>
    </row>
    <row r="451" spans="1:8" x14ac:dyDescent="0.25">
      <c r="A451" s="8">
        <v>42079</v>
      </c>
      <c r="B451" s="4">
        <v>2081.1899410000001</v>
      </c>
      <c r="C451" s="4">
        <v>50.119999</v>
      </c>
      <c r="D451" s="4">
        <v>554.51250900000002</v>
      </c>
      <c r="F451" s="4">
        <v>1.3533671143615367E-2</v>
      </c>
      <c r="G451" s="4">
        <v>1.3344116727539657E-2</v>
      </c>
      <c r="H451" s="4">
        <v>1.3344116727539657E-2</v>
      </c>
    </row>
    <row r="452" spans="1:8" x14ac:dyDescent="0.25">
      <c r="A452" s="8">
        <v>42080</v>
      </c>
      <c r="B452" s="4">
        <v>2074.280029</v>
      </c>
      <c r="C452" s="4">
        <v>49.950001</v>
      </c>
      <c r="D452" s="4">
        <v>550.84253200000001</v>
      </c>
      <c r="F452" s="4">
        <v>-3.3201736486770939E-3</v>
      </c>
      <c r="G452" s="4">
        <v>-3.391819700555021E-3</v>
      </c>
      <c r="H452" s="4">
        <v>-3.391819700555021E-3</v>
      </c>
    </row>
    <row r="453" spans="1:8" x14ac:dyDescent="0.25">
      <c r="A453" s="8">
        <v>42081</v>
      </c>
      <c r="B453" s="4">
        <v>2099.5</v>
      </c>
      <c r="C453" s="4">
        <v>50.639999000000003</v>
      </c>
      <c r="D453" s="4">
        <v>559.50251300000002</v>
      </c>
      <c r="F453" s="4">
        <v>1.2158421547431297E-2</v>
      </c>
      <c r="G453" s="4">
        <v>1.3813773497221904E-2</v>
      </c>
      <c r="H453" s="4">
        <v>1.3813773497221904E-2</v>
      </c>
    </row>
    <row r="454" spans="1:8" x14ac:dyDescent="0.25">
      <c r="A454" s="8">
        <v>42082</v>
      </c>
      <c r="B454" s="4">
        <v>2089.2700199999999</v>
      </c>
      <c r="C454" s="4">
        <v>50.369999</v>
      </c>
      <c r="D454" s="4">
        <v>557.99251200000003</v>
      </c>
      <c r="F454" s="4">
        <v>-4.8725791855204204E-3</v>
      </c>
      <c r="G454" s="4">
        <v>-5.331753659789773E-3</v>
      </c>
      <c r="H454" s="4">
        <v>-5.331753659789773E-3</v>
      </c>
    </row>
    <row r="455" spans="1:8" x14ac:dyDescent="0.25">
      <c r="A455" s="8">
        <v>42083</v>
      </c>
      <c r="B455" s="4">
        <v>2108.1000979999999</v>
      </c>
      <c r="C455" s="4">
        <v>50.880001</v>
      </c>
      <c r="D455" s="4">
        <v>560.36253699999997</v>
      </c>
      <c r="F455" s="4">
        <v>9.0127546079468157E-3</v>
      </c>
      <c r="G455" s="4">
        <v>1.0125114356265952E-2</v>
      </c>
      <c r="H455" s="4">
        <v>1.0125114356265952E-2</v>
      </c>
    </row>
    <row r="456" spans="1:8" x14ac:dyDescent="0.25">
      <c r="A456" s="8">
        <v>42086</v>
      </c>
      <c r="B456" s="4">
        <v>2104.419922</v>
      </c>
      <c r="C456" s="4">
        <v>50.790000999999997</v>
      </c>
      <c r="D456" s="4">
        <v>558.81250999999997</v>
      </c>
      <c r="F456" s="4">
        <v>-1.7457311460168379E-3</v>
      </c>
      <c r="G456" s="4">
        <v>-1.7688678897629373E-3</v>
      </c>
      <c r="H456" s="4">
        <v>-1.7688678897629373E-3</v>
      </c>
    </row>
    <row r="457" spans="1:8" x14ac:dyDescent="0.25">
      <c r="A457" s="8">
        <v>42087</v>
      </c>
      <c r="B457" s="4">
        <v>2091.5</v>
      </c>
      <c r="C457" s="4">
        <v>50.5</v>
      </c>
      <c r="D457" s="4">
        <v>570.19259699999998</v>
      </c>
      <c r="F457" s="4">
        <v>-6.1394220159830537E-3</v>
      </c>
      <c r="G457" s="4">
        <v>-5.7098049673202089E-3</v>
      </c>
      <c r="H457" s="4">
        <v>-5.7098049673202089E-3</v>
      </c>
    </row>
    <row r="458" spans="1:8" x14ac:dyDescent="0.25">
      <c r="A458" s="8">
        <v>42088</v>
      </c>
      <c r="B458" s="4">
        <v>2061.0500489999999</v>
      </c>
      <c r="C458" s="4">
        <v>49.830002</v>
      </c>
      <c r="D458" s="4">
        <v>558.78747799999996</v>
      </c>
      <c r="F458" s="4">
        <v>-1.4558905570164926E-2</v>
      </c>
      <c r="G458" s="4">
        <v>-1.3267287128712835E-2</v>
      </c>
      <c r="H458" s="4">
        <v>-1.3267287128712835E-2</v>
      </c>
    </row>
    <row r="459" spans="1:8" x14ac:dyDescent="0.25">
      <c r="A459" s="8">
        <v>42089</v>
      </c>
      <c r="B459" s="4">
        <v>2056.1499020000001</v>
      </c>
      <c r="C459" s="4">
        <v>49.709999000000003</v>
      </c>
      <c r="D459" s="4">
        <v>555.17252199999996</v>
      </c>
      <c r="F459" s="4">
        <v>-2.3775002467200101E-3</v>
      </c>
      <c r="G459" s="4">
        <v>-2.4082479466888129E-3</v>
      </c>
      <c r="H459" s="4">
        <v>-2.4082479466888129E-3</v>
      </c>
    </row>
    <row r="460" spans="1:8" x14ac:dyDescent="0.25">
      <c r="A460" s="8">
        <v>42090</v>
      </c>
      <c r="B460" s="4">
        <v>2061.0200199999999</v>
      </c>
      <c r="C460" s="4">
        <v>49.91</v>
      </c>
      <c r="D460" s="4">
        <v>548.34251200000006</v>
      </c>
      <c r="F460" s="4">
        <v>2.3685617450666108E-3</v>
      </c>
      <c r="G460" s="4">
        <v>4.0233555426141265E-3</v>
      </c>
      <c r="H460" s="4">
        <v>4.0233555426141265E-3</v>
      </c>
    </row>
    <row r="461" spans="1:8" x14ac:dyDescent="0.25">
      <c r="A461" s="8">
        <v>42093</v>
      </c>
      <c r="B461" s="4">
        <v>2086.23999</v>
      </c>
      <c r="C461" s="4">
        <v>50.509998000000003</v>
      </c>
      <c r="D461" s="4">
        <v>552.03250200000002</v>
      </c>
      <c r="F461" s="4">
        <v>1.2236644843459654E-2</v>
      </c>
      <c r="G461" s="4">
        <v>1.2021598877980599E-2</v>
      </c>
      <c r="H461" s="4">
        <v>1.2021598877980599E-2</v>
      </c>
    </row>
    <row r="462" spans="1:8" x14ac:dyDescent="0.25">
      <c r="A462" s="8">
        <v>42094</v>
      </c>
      <c r="B462" s="4">
        <v>2067.889893</v>
      </c>
      <c r="C462" s="4">
        <v>50.169998</v>
      </c>
      <c r="D462" s="4">
        <v>548.00246800000002</v>
      </c>
      <c r="F462" s="4">
        <v>-8.7957747373061945E-3</v>
      </c>
      <c r="G462" s="4">
        <v>-6.7313405951828775E-3</v>
      </c>
      <c r="H462" s="4">
        <v>-6.7313405951828775E-3</v>
      </c>
    </row>
    <row r="463" spans="1:8" x14ac:dyDescent="0.25">
      <c r="A463" s="8">
        <v>42095</v>
      </c>
      <c r="B463" s="4">
        <v>2059.6899410000001</v>
      </c>
      <c r="C463" s="4">
        <v>50.02</v>
      </c>
      <c r="D463" s="4">
        <v>542.56243900000004</v>
      </c>
      <c r="F463" s="4">
        <v>-3.9653716707825915E-3</v>
      </c>
      <c r="G463" s="4">
        <v>-2.9897948172131761E-3</v>
      </c>
      <c r="H463" s="4">
        <v>-2.9897948172131761E-3</v>
      </c>
    </row>
    <row r="464" spans="1:8" x14ac:dyDescent="0.25">
      <c r="A464" s="8">
        <v>42096</v>
      </c>
      <c r="B464" s="4">
        <v>2066.959961</v>
      </c>
      <c r="C464" s="4">
        <v>50.259998000000003</v>
      </c>
      <c r="D464" s="4">
        <v>535.53247799999997</v>
      </c>
      <c r="F464" s="4">
        <v>3.5296671869311513E-3</v>
      </c>
      <c r="G464" s="4">
        <v>4.798040783686508E-3</v>
      </c>
      <c r="H464" s="4">
        <v>4.798040783686508E-3</v>
      </c>
    </row>
    <row r="465" spans="1:8" x14ac:dyDescent="0.25">
      <c r="A465" s="8">
        <v>42100</v>
      </c>
      <c r="B465" s="4">
        <v>2080.6201169999999</v>
      </c>
      <c r="C465" s="4">
        <v>50.630001</v>
      </c>
      <c r="D465" s="4">
        <v>536.76743199999999</v>
      </c>
      <c r="F465" s="4">
        <v>6.6088150025853665E-3</v>
      </c>
      <c r="G465" s="4">
        <v>7.3617790434452601E-3</v>
      </c>
      <c r="H465" s="4">
        <v>7.3617790434452601E-3</v>
      </c>
    </row>
    <row r="466" spans="1:8" x14ac:dyDescent="0.25">
      <c r="A466" s="8">
        <v>42101</v>
      </c>
      <c r="B466" s="4">
        <v>2076.330078</v>
      </c>
      <c r="C466" s="4">
        <v>50.450001</v>
      </c>
      <c r="D466" s="4">
        <v>537.02246500000001</v>
      </c>
      <c r="F466" s="4">
        <v>-2.0619040280095424E-3</v>
      </c>
      <c r="G466" s="4">
        <v>-3.555204354035113E-3</v>
      </c>
      <c r="H466" s="4">
        <v>-3.555204354035113E-3</v>
      </c>
    </row>
    <row r="467" spans="1:8" x14ac:dyDescent="0.25">
      <c r="A467" s="8">
        <v>42102</v>
      </c>
      <c r="B467" s="4">
        <v>2081.8999020000001</v>
      </c>
      <c r="C467" s="4">
        <v>50.630001</v>
      </c>
      <c r="D467" s="4">
        <v>541.61244599999998</v>
      </c>
      <c r="F467" s="4">
        <v>2.6825330225748178E-3</v>
      </c>
      <c r="G467" s="4">
        <v>3.5678889282875215E-3</v>
      </c>
      <c r="H467" s="4">
        <v>3.5678889282875215E-3</v>
      </c>
    </row>
    <row r="468" spans="1:8" x14ac:dyDescent="0.25">
      <c r="A468" s="8">
        <v>42103</v>
      </c>
      <c r="B468" s="4">
        <v>2091.179932</v>
      </c>
      <c r="C468" s="4">
        <v>50.810001</v>
      </c>
      <c r="D468" s="4">
        <v>540.78247199999998</v>
      </c>
      <c r="F468" s="4">
        <v>4.4574813568534211E-3</v>
      </c>
      <c r="G468" s="4">
        <v>3.555204354035002E-3</v>
      </c>
      <c r="H468" s="4">
        <v>3.555204354035002E-3</v>
      </c>
    </row>
    <row r="469" spans="1:8" x14ac:dyDescent="0.25">
      <c r="A469" s="8">
        <v>42104</v>
      </c>
      <c r="B469" s="4">
        <v>2102.0600589999999</v>
      </c>
      <c r="C469" s="4">
        <v>50.959999000000003</v>
      </c>
      <c r="D469" s="4">
        <v>540.01247699999999</v>
      </c>
      <c r="F469" s="4">
        <v>5.2028650588638037E-3</v>
      </c>
      <c r="G469" s="4">
        <v>2.9521353483146218E-3</v>
      </c>
      <c r="H469" s="4">
        <v>2.9521353483146218E-3</v>
      </c>
    </row>
    <row r="470" spans="1:8" x14ac:dyDescent="0.25">
      <c r="A470" s="8">
        <v>42107</v>
      </c>
      <c r="B470" s="4">
        <v>2092.429932</v>
      </c>
      <c r="C470" s="4">
        <v>50.709999000000003</v>
      </c>
      <c r="D470" s="4">
        <v>539.17240400000003</v>
      </c>
      <c r="F470" s="4">
        <v>-4.5812806150653529E-3</v>
      </c>
      <c r="G470" s="4">
        <v>-4.9058085735048662E-3</v>
      </c>
      <c r="H470" s="4">
        <v>-4.9058085735048662E-3</v>
      </c>
    </row>
    <row r="471" spans="1:8" x14ac:dyDescent="0.25">
      <c r="A471" s="8">
        <v>42108</v>
      </c>
      <c r="B471" s="4">
        <v>2095.8400879999999</v>
      </c>
      <c r="C471" s="4">
        <v>50.82</v>
      </c>
      <c r="D471" s="4">
        <v>530.39240500000005</v>
      </c>
      <c r="F471" s="4">
        <v>1.6297587545692771E-3</v>
      </c>
      <c r="G471" s="4">
        <v>2.1692171597162968E-3</v>
      </c>
      <c r="H471" s="4">
        <v>2.1692171597162968E-3</v>
      </c>
    </row>
    <row r="472" spans="1:8" x14ac:dyDescent="0.25">
      <c r="A472" s="8">
        <v>42109</v>
      </c>
      <c r="B472" s="4">
        <v>2106.6298830000001</v>
      </c>
      <c r="C472" s="4">
        <v>51.16</v>
      </c>
      <c r="D472" s="4">
        <v>532.53242899999998</v>
      </c>
      <c r="F472" s="4">
        <v>5.1481957339105655E-3</v>
      </c>
      <c r="G472" s="4">
        <v>6.6902794175520697E-3</v>
      </c>
      <c r="H472" s="4">
        <v>6.6902794175520697E-3</v>
      </c>
    </row>
    <row r="473" spans="1:8" x14ac:dyDescent="0.25">
      <c r="A473" s="8">
        <v>42110</v>
      </c>
      <c r="B473" s="4">
        <v>2104.98999</v>
      </c>
      <c r="C473" s="4">
        <v>51.060001</v>
      </c>
      <c r="D473" s="4">
        <v>533.80239099999994</v>
      </c>
      <c r="F473" s="4">
        <v>-7.7844381361602544E-4</v>
      </c>
      <c r="G473" s="4">
        <v>-1.9546325254103936E-3</v>
      </c>
      <c r="H473" s="4">
        <v>-1.9546325254103936E-3</v>
      </c>
    </row>
    <row r="474" spans="1:8" x14ac:dyDescent="0.25">
      <c r="A474" s="8">
        <v>42111</v>
      </c>
      <c r="B474" s="4">
        <v>2081.179932</v>
      </c>
      <c r="C474" s="4">
        <v>50.5</v>
      </c>
      <c r="D474" s="4">
        <v>524.05238599999996</v>
      </c>
      <c r="F474" s="4">
        <v>-1.1311245237798029E-2</v>
      </c>
      <c r="G474" s="4">
        <v>-1.0967508598364484E-2</v>
      </c>
      <c r="H474" s="4">
        <v>-1.0967508598364484E-2</v>
      </c>
    </row>
    <row r="475" spans="1:8" x14ac:dyDescent="0.25">
      <c r="A475" s="8">
        <v>42114</v>
      </c>
      <c r="B475" s="4">
        <v>2100.3999020000001</v>
      </c>
      <c r="C475" s="4">
        <v>50.880001</v>
      </c>
      <c r="D475" s="4">
        <v>535.38240800000005</v>
      </c>
      <c r="F475" s="4">
        <v>9.2351313331806573E-3</v>
      </c>
      <c r="G475" s="4">
        <v>7.5247722772278092E-3</v>
      </c>
      <c r="H475" s="4">
        <v>7.5247722772278092E-3</v>
      </c>
    </row>
    <row r="476" spans="1:8" x14ac:dyDescent="0.25">
      <c r="A476" s="8">
        <v>42115</v>
      </c>
      <c r="B476" s="4">
        <v>2097.290039</v>
      </c>
      <c r="C476" s="4">
        <v>50.799999</v>
      </c>
      <c r="D476" s="4">
        <v>533.97241299999996</v>
      </c>
      <c r="F476" s="4">
        <v>-1.4806051919155072E-3</v>
      </c>
      <c r="G476" s="4">
        <v>-1.5723663212978689E-3</v>
      </c>
      <c r="H476" s="4">
        <v>-1.5723663212978689E-3</v>
      </c>
    </row>
    <row r="477" spans="1:8" x14ac:dyDescent="0.25">
      <c r="A477" s="8">
        <v>42116</v>
      </c>
      <c r="B477" s="4">
        <v>2107.959961</v>
      </c>
      <c r="C477" s="4">
        <v>50.990001999999997</v>
      </c>
      <c r="D477" s="4">
        <v>539.36745800000006</v>
      </c>
      <c r="F477" s="4">
        <v>5.0874804159597442E-3</v>
      </c>
      <c r="G477" s="4">
        <v>3.7402166090594324E-3</v>
      </c>
      <c r="H477" s="4">
        <v>3.7402166090594324E-3</v>
      </c>
    </row>
    <row r="478" spans="1:8" x14ac:dyDescent="0.25">
      <c r="A478" s="8">
        <v>42117</v>
      </c>
      <c r="B478" s="4">
        <v>2112.929932</v>
      </c>
      <c r="C478" s="4">
        <v>51.139999000000003</v>
      </c>
      <c r="D478" s="4">
        <v>547.00247200000001</v>
      </c>
      <c r="F478" s="4">
        <v>2.3577160344365744E-3</v>
      </c>
      <c r="G478" s="4">
        <v>2.9416943345090818E-3</v>
      </c>
      <c r="H478" s="4">
        <v>2.9416943345090818E-3</v>
      </c>
    </row>
    <row r="479" spans="1:8" x14ac:dyDescent="0.25">
      <c r="A479" s="8">
        <v>42118</v>
      </c>
      <c r="B479" s="4">
        <v>2117.6899410000001</v>
      </c>
      <c r="C479" s="4">
        <v>51.09</v>
      </c>
      <c r="D479" s="4">
        <v>565.06256099999996</v>
      </c>
      <c r="F479" s="4">
        <v>2.2528002125912217E-3</v>
      </c>
      <c r="G479" s="4">
        <v>-9.7768871681047642E-4</v>
      </c>
      <c r="H479" s="4">
        <v>-9.7768871681047642E-4</v>
      </c>
    </row>
    <row r="480" spans="1:8" x14ac:dyDescent="0.25">
      <c r="A480" s="8">
        <v>42121</v>
      </c>
      <c r="B480" s="4">
        <v>2108.919922</v>
      </c>
      <c r="C480" s="4">
        <v>50.82</v>
      </c>
      <c r="D480" s="4">
        <v>555.36999500000002</v>
      </c>
      <c r="F480" s="4">
        <v>-4.14131399984774E-3</v>
      </c>
      <c r="G480" s="4">
        <v>-5.2847915443335891E-3</v>
      </c>
      <c r="H480" s="4">
        <v>-5.2847915443335891E-3</v>
      </c>
    </row>
    <row r="481" spans="1:8" x14ac:dyDescent="0.25">
      <c r="A481" s="8">
        <v>42122</v>
      </c>
      <c r="B481" s="4">
        <v>2114.76001</v>
      </c>
      <c r="C481" s="4">
        <v>50.939999</v>
      </c>
      <c r="D481" s="4">
        <v>553.67999299999997</v>
      </c>
      <c r="F481" s="4">
        <v>2.7692317470553451E-3</v>
      </c>
      <c r="G481" s="4">
        <v>2.3612554112553141E-3</v>
      </c>
      <c r="H481" s="4">
        <v>2.3612554112553141E-3</v>
      </c>
    </row>
    <row r="482" spans="1:8" x14ac:dyDescent="0.25">
      <c r="A482" s="8">
        <v>42123</v>
      </c>
      <c r="B482" s="4">
        <v>2106.8500979999999</v>
      </c>
      <c r="C482" s="4">
        <v>50.759998000000003</v>
      </c>
      <c r="D482" s="4">
        <v>549.080017</v>
      </c>
      <c r="F482" s="4">
        <v>-3.7403355286635964E-3</v>
      </c>
      <c r="G482" s="4">
        <v>-3.5335886048996068E-3</v>
      </c>
      <c r="H482" s="4">
        <v>-3.5335886048996068E-3</v>
      </c>
    </row>
    <row r="483" spans="1:8" x14ac:dyDescent="0.25">
      <c r="A483" s="8">
        <v>42124</v>
      </c>
      <c r="B483" s="4">
        <v>2085.51001</v>
      </c>
      <c r="C483" s="4">
        <v>50.360000999999997</v>
      </c>
      <c r="D483" s="4">
        <v>537.34002699999996</v>
      </c>
      <c r="F483" s="4">
        <v>-1.0128906665100579E-2</v>
      </c>
      <c r="G483" s="4">
        <v>-7.8801618550103925E-3</v>
      </c>
      <c r="H483" s="4">
        <v>-7.8801618550103925E-3</v>
      </c>
    </row>
    <row r="484" spans="1:8" x14ac:dyDescent="0.25">
      <c r="A484" s="8">
        <v>42125</v>
      </c>
      <c r="B484" s="4">
        <v>2108.290039</v>
      </c>
      <c r="C484" s="4">
        <v>50.900002000000001</v>
      </c>
      <c r="D484" s="4">
        <v>537.90002400000003</v>
      </c>
      <c r="F484" s="4">
        <v>1.0923001515586117E-2</v>
      </c>
      <c r="G484" s="4">
        <v>1.0722815513844131E-2</v>
      </c>
      <c r="H484" s="4">
        <v>1.0722815513844131E-2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484"/>
  <sheetViews>
    <sheetView showGridLines="0" workbookViewId="0">
      <selection activeCell="G10" sqref="G10"/>
    </sheetView>
  </sheetViews>
  <sheetFormatPr defaultColWidth="11.42578125" defaultRowHeight="15" x14ac:dyDescent="0.25"/>
  <cols>
    <col min="1" max="1" width="10.42578125" style="2" bestFit="1" customWidth="1"/>
    <col min="2" max="3" width="11.42578125" style="2"/>
    <col min="4" max="4" width="13.140625" bestFit="1" customWidth="1"/>
    <col min="6" max="6" width="32.140625" bestFit="1" customWidth="1"/>
  </cols>
  <sheetData>
    <row r="1" spans="1:7" x14ac:dyDescent="0.25">
      <c r="A1" s="2" t="s">
        <v>0</v>
      </c>
      <c r="B1" s="2" t="s">
        <v>1</v>
      </c>
      <c r="C1" s="2" t="s">
        <v>12</v>
      </c>
      <c r="D1" t="s">
        <v>13</v>
      </c>
    </row>
    <row r="2" spans="1:7" x14ac:dyDescent="0.25">
      <c r="A2" s="1">
        <v>41428</v>
      </c>
      <c r="B2" s="2">
        <v>1640.420044</v>
      </c>
      <c r="C2" s="2">
        <v>37.445760999999997</v>
      </c>
    </row>
    <row r="3" spans="1:7" x14ac:dyDescent="0.25">
      <c r="A3" s="1">
        <v>41429</v>
      </c>
      <c r="B3" s="2">
        <v>1631.380005</v>
      </c>
      <c r="C3" s="2">
        <v>37.230178000000002</v>
      </c>
      <c r="D3">
        <f t="array" ref="D3:D484">pm_pf_ExcessReturn(C2:C484,B2:B484)</f>
        <v>-2.4639962054051612E-4</v>
      </c>
      <c r="F3" s="6" t="s">
        <v>14</v>
      </c>
      <c r="G3" s="7">
        <v>0.02</v>
      </c>
    </row>
    <row r="4" spans="1:7" x14ac:dyDescent="0.25">
      <c r="A4" s="1">
        <v>41430</v>
      </c>
      <c r="B4" s="2">
        <v>1608.900024</v>
      </c>
      <c r="C4" s="2">
        <v>36.705280000000002</v>
      </c>
      <c r="D4">
        <v>-3.189908229070948E-4</v>
      </c>
      <c r="F4" s="6" t="s">
        <v>19</v>
      </c>
      <c r="G4" s="7">
        <v>0.05</v>
      </c>
    </row>
    <row r="5" spans="1:7" x14ac:dyDescent="0.25">
      <c r="A5" s="1">
        <v>41431</v>
      </c>
      <c r="B5" s="2">
        <v>1622.5600589999999</v>
      </c>
      <c r="C5" s="2">
        <v>37.070833</v>
      </c>
      <c r="D5">
        <v>1.4688449089943489E-3</v>
      </c>
      <c r="F5" s="4" t="s">
        <v>20</v>
      </c>
      <c r="G5" s="4">
        <f>pm_pf_TrackingDiff(C2:C484,B2:B484,"d")</f>
        <v>2.9531945898880196E-2</v>
      </c>
    </row>
    <row r="6" spans="1:7" x14ac:dyDescent="0.25">
      <c r="A6" s="1">
        <v>41432</v>
      </c>
      <c r="B6" s="2">
        <v>1643.380005</v>
      </c>
      <c r="C6" s="2">
        <v>37.576984000000003</v>
      </c>
      <c r="D6">
        <v>8.2207714821924682E-4</v>
      </c>
      <c r="F6" s="4" t="s">
        <v>16</v>
      </c>
      <c r="G6" s="4">
        <f>pm_pf_TrackingError(C2:C484,B2:B484,"d")</f>
        <v>1.878938746731532E-2</v>
      </c>
    </row>
    <row r="7" spans="1:7" x14ac:dyDescent="0.25">
      <c r="A7" s="1">
        <v>41435</v>
      </c>
      <c r="B7" s="2">
        <v>1642.8100589999999</v>
      </c>
      <c r="C7" s="2">
        <v>37.558238000000003</v>
      </c>
      <c r="D7">
        <v>-1.5205592739964136E-4</v>
      </c>
      <c r="F7" s="4" t="s">
        <v>15</v>
      </c>
      <c r="G7" s="4">
        <f>pm_pf_Sharpe(C2:C484,G3,"d")</f>
        <v>1.233331495968885</v>
      </c>
    </row>
    <row r="8" spans="1:7" x14ac:dyDescent="0.25">
      <c r="A8" s="1">
        <v>41436</v>
      </c>
      <c r="B8" s="2">
        <v>1626.130005</v>
      </c>
      <c r="C8" s="2">
        <v>37.136445000000002</v>
      </c>
      <c r="D8">
        <v>-1.0770050745488868E-3</v>
      </c>
      <c r="F8" s="4" t="s">
        <v>17</v>
      </c>
      <c r="G8" s="4">
        <f>pm_pf_Treynor(C2:C484,B2:B484,G3,"d")</f>
        <v>0.14336371942097892</v>
      </c>
    </row>
    <row r="9" spans="1:7" x14ac:dyDescent="0.25">
      <c r="A9" s="1">
        <v>41437</v>
      </c>
      <c r="B9" s="2">
        <v>1612.5200199999999</v>
      </c>
      <c r="C9" s="2">
        <v>36.799011</v>
      </c>
      <c r="D9">
        <v>-7.1677485470234004E-4</v>
      </c>
      <c r="F9" s="4" t="s">
        <v>18</v>
      </c>
      <c r="G9" s="4">
        <f>pm_pf_Sortino(C2:C484,G4,"d")</f>
        <v>0.98143684568409317</v>
      </c>
    </row>
    <row r="10" spans="1:7" x14ac:dyDescent="0.25">
      <c r="A10" s="1">
        <v>41438</v>
      </c>
      <c r="B10" s="2">
        <v>1636.3599850000001</v>
      </c>
      <c r="C10" s="2">
        <v>37.445760999999997</v>
      </c>
      <c r="D10">
        <v>2.7909097302012409E-3</v>
      </c>
      <c r="F10" s="4" t="s">
        <v>21</v>
      </c>
      <c r="G10" s="4">
        <f>pm_pf_IR(C2:C484,B2:B484,"d")</f>
        <v>1.5717354251303757</v>
      </c>
    </row>
    <row r="11" spans="1:7" x14ac:dyDescent="0.25">
      <c r="A11" s="1">
        <v>41439</v>
      </c>
      <c r="B11" s="2">
        <v>1626.7299800000001</v>
      </c>
      <c r="C11" s="2">
        <v>37.239550000000001</v>
      </c>
      <c r="D11">
        <v>3.7809111774611548E-4</v>
      </c>
    </row>
    <row r="12" spans="1:7" x14ac:dyDescent="0.25">
      <c r="A12" s="1">
        <v>41442</v>
      </c>
      <c r="B12" s="2">
        <v>1639.040039</v>
      </c>
      <c r="C12" s="2">
        <v>37.539490999999998</v>
      </c>
      <c r="D12">
        <v>4.8700224643227763E-4</v>
      </c>
    </row>
    <row r="13" spans="1:7" x14ac:dyDescent="0.25">
      <c r="A13" s="1">
        <v>41443</v>
      </c>
      <c r="B13" s="2">
        <v>1651.8100589999999</v>
      </c>
      <c r="C13" s="2">
        <v>37.839432000000002</v>
      </c>
      <c r="D13">
        <v>1.9885438425215618E-4</v>
      </c>
    </row>
    <row r="14" spans="1:7" x14ac:dyDescent="0.25">
      <c r="A14" s="1">
        <v>41444</v>
      </c>
      <c r="B14" s="2">
        <v>1628.9300539999999</v>
      </c>
      <c r="C14" s="2">
        <v>37.295789999999997</v>
      </c>
      <c r="D14">
        <v>-5.1560156929952861E-4</v>
      </c>
    </row>
    <row r="15" spans="1:7" x14ac:dyDescent="0.25">
      <c r="A15" s="1">
        <v>41445</v>
      </c>
      <c r="B15" s="2">
        <v>1588.1899410000001</v>
      </c>
      <c r="C15" s="2">
        <v>36.330353000000002</v>
      </c>
      <c r="D15">
        <v>-8.7559983725793433E-4</v>
      </c>
    </row>
    <row r="16" spans="1:7" x14ac:dyDescent="0.25">
      <c r="A16" s="1">
        <v>41446</v>
      </c>
      <c r="B16" s="2">
        <v>1592.4300539999999</v>
      </c>
      <c r="C16" s="2">
        <v>36.424086000000003</v>
      </c>
      <c r="D16">
        <v>-8.9758043025245371E-5</v>
      </c>
    </row>
    <row r="17" spans="1:4" x14ac:dyDescent="0.25">
      <c r="A17" s="1">
        <v>41449</v>
      </c>
      <c r="B17" s="2">
        <v>1573.089966</v>
      </c>
      <c r="C17" s="2">
        <v>35.974175000000002</v>
      </c>
      <c r="D17">
        <v>-2.070032404258848E-4</v>
      </c>
    </row>
    <row r="18" spans="1:4" x14ac:dyDescent="0.25">
      <c r="A18" s="1">
        <v>41450</v>
      </c>
      <c r="B18" s="2">
        <v>1588.030029</v>
      </c>
      <c r="C18" s="2">
        <v>36.386592999999998</v>
      </c>
      <c r="D18">
        <v>1.9670077667033325E-3</v>
      </c>
    </row>
    <row r="19" spans="1:4" x14ac:dyDescent="0.25">
      <c r="A19" s="1">
        <v>41451</v>
      </c>
      <c r="B19" s="2">
        <v>1603.26001</v>
      </c>
      <c r="C19" s="2">
        <v>36.724027</v>
      </c>
      <c r="D19">
        <v>-3.1690626133173971E-4</v>
      </c>
    </row>
    <row r="20" spans="1:4" x14ac:dyDescent="0.25">
      <c r="A20" s="1">
        <v>41452</v>
      </c>
      <c r="B20" s="2">
        <v>1613.1999510000001</v>
      </c>
      <c r="C20" s="2">
        <v>37.052086000000003</v>
      </c>
      <c r="D20">
        <v>2.7332580249013194E-3</v>
      </c>
    </row>
    <row r="21" spans="1:4" x14ac:dyDescent="0.25">
      <c r="A21" s="1">
        <v>41453</v>
      </c>
      <c r="B21" s="2">
        <v>1606.280029</v>
      </c>
      <c r="C21" s="2">
        <v>36.939608999999997</v>
      </c>
      <c r="D21">
        <v>1.2539169403897876E-3</v>
      </c>
    </row>
    <row r="22" spans="1:4" x14ac:dyDescent="0.25">
      <c r="A22" s="1">
        <v>41456</v>
      </c>
      <c r="B22" s="2">
        <v>1614.959961</v>
      </c>
      <c r="C22" s="2">
        <v>37.173938</v>
      </c>
      <c r="D22">
        <v>9.3982243042711744E-4</v>
      </c>
    </row>
    <row r="23" spans="1:4" x14ac:dyDescent="0.25">
      <c r="A23" s="1">
        <v>41457</v>
      </c>
      <c r="B23" s="2">
        <v>1614.079956</v>
      </c>
      <c r="C23" s="2">
        <v>37.117697999999997</v>
      </c>
      <c r="D23">
        <v>-9.6797962703887297E-4</v>
      </c>
    </row>
    <row r="24" spans="1:4" x14ac:dyDescent="0.25">
      <c r="A24" s="1">
        <v>41458</v>
      </c>
      <c r="B24" s="2">
        <v>1615.410034</v>
      </c>
      <c r="C24" s="2">
        <v>37.089579999999998</v>
      </c>
      <c r="D24">
        <v>-1.5815833604845286E-3</v>
      </c>
    </row>
    <row r="25" spans="1:4" x14ac:dyDescent="0.25">
      <c r="A25" s="1">
        <v>41460</v>
      </c>
      <c r="B25" s="2">
        <v>1631.8900149999999</v>
      </c>
      <c r="C25" s="2">
        <v>37.492626000000001</v>
      </c>
      <c r="D25">
        <v>6.6509319675756018E-4</v>
      </c>
    </row>
    <row r="26" spans="1:4" x14ac:dyDescent="0.25">
      <c r="A26" s="1">
        <v>41463</v>
      </c>
      <c r="B26" s="2">
        <v>1640.459961</v>
      </c>
      <c r="C26" s="2">
        <v>37.68009</v>
      </c>
      <c r="D26">
        <v>-2.5152311364906588E-4</v>
      </c>
    </row>
    <row r="27" spans="1:4" x14ac:dyDescent="0.25">
      <c r="A27" s="1">
        <v>41464</v>
      </c>
      <c r="B27" s="2">
        <v>1652.3199460000001</v>
      </c>
      <c r="C27" s="2">
        <v>37.970655000000001</v>
      </c>
      <c r="D27">
        <v>4.8169642320239348E-4</v>
      </c>
    </row>
    <row r="28" spans="1:4" x14ac:dyDescent="0.25">
      <c r="A28" s="1">
        <v>41465</v>
      </c>
      <c r="B28" s="2">
        <v>1652.619995</v>
      </c>
      <c r="C28" s="2">
        <v>38.026895000000003</v>
      </c>
      <c r="D28">
        <v>1.2995512392124375E-3</v>
      </c>
    </row>
    <row r="29" spans="1:4" x14ac:dyDescent="0.25">
      <c r="A29" s="1">
        <v>41466</v>
      </c>
      <c r="B29" s="2">
        <v>1675.0200199999999</v>
      </c>
      <c r="C29" s="2">
        <v>38.570540000000001</v>
      </c>
      <c r="D29">
        <v>7.4207869162479234E-4</v>
      </c>
    </row>
    <row r="30" spans="1:4" x14ac:dyDescent="0.25">
      <c r="A30" s="1">
        <v>41467</v>
      </c>
      <c r="B30" s="2">
        <v>1680.1899410000001</v>
      </c>
      <c r="C30" s="2">
        <v>38.701763999999997</v>
      </c>
      <c r="D30">
        <v>3.1569897028127514E-4</v>
      </c>
    </row>
    <row r="31" spans="1:4" x14ac:dyDescent="0.25">
      <c r="A31" s="1">
        <v>41470</v>
      </c>
      <c r="B31" s="2">
        <v>1682.5</v>
      </c>
      <c r="C31" s="2">
        <v>38.767375999999999</v>
      </c>
      <c r="D31">
        <v>3.2044356660931861E-4</v>
      </c>
    </row>
    <row r="32" spans="1:4" x14ac:dyDescent="0.25">
      <c r="A32" s="1">
        <v>41471</v>
      </c>
      <c r="B32" s="2">
        <v>1676.26001</v>
      </c>
      <c r="C32" s="2">
        <v>38.570540000000001</v>
      </c>
      <c r="D32">
        <v>-1.3686011824025623E-3</v>
      </c>
    </row>
    <row r="33" spans="1:4" x14ac:dyDescent="0.25">
      <c r="A33" s="1">
        <v>41472</v>
      </c>
      <c r="B33" s="2">
        <v>1680.910034</v>
      </c>
      <c r="C33" s="2">
        <v>38.683017</v>
      </c>
      <c r="D33">
        <v>1.4209058053693546E-4</v>
      </c>
    </row>
    <row r="34" spans="1:4" x14ac:dyDescent="0.25">
      <c r="A34" s="1">
        <v>41473</v>
      </c>
      <c r="B34" s="2">
        <v>1689.369995</v>
      </c>
      <c r="C34" s="2">
        <v>38.964210999999999</v>
      </c>
      <c r="D34">
        <v>2.2362200405070531E-3</v>
      </c>
    </row>
    <row r="35" spans="1:4" x14ac:dyDescent="0.25">
      <c r="A35" s="1">
        <v>41474</v>
      </c>
      <c r="B35" s="2">
        <v>1692.089966</v>
      </c>
      <c r="C35" s="2">
        <v>39.048569999999998</v>
      </c>
      <c r="D35">
        <v>5.5498756835525853E-4</v>
      </c>
    </row>
    <row r="36" spans="1:4" x14ac:dyDescent="0.25">
      <c r="A36" s="1">
        <v>41477</v>
      </c>
      <c r="B36" s="2">
        <v>1695.530029</v>
      </c>
      <c r="C36" s="2">
        <v>39.104810000000001</v>
      </c>
      <c r="D36">
        <v>-5.9276845454037108E-4</v>
      </c>
    </row>
    <row r="37" spans="1:4" x14ac:dyDescent="0.25">
      <c r="A37" s="1">
        <v>41478</v>
      </c>
      <c r="B37" s="2">
        <v>1692.3900149999999</v>
      </c>
      <c r="C37" s="2">
        <v>39.020451000000001</v>
      </c>
      <c r="D37">
        <v>-3.0531726981364304E-4</v>
      </c>
    </row>
    <row r="38" spans="1:4" x14ac:dyDescent="0.25">
      <c r="A38" s="1">
        <v>41479</v>
      </c>
      <c r="B38" s="2">
        <v>1685.9399410000001</v>
      </c>
      <c r="C38" s="2">
        <v>38.758000000000003</v>
      </c>
      <c r="D38">
        <v>-2.9147638511494156E-3</v>
      </c>
    </row>
    <row r="39" spans="1:4" x14ac:dyDescent="0.25">
      <c r="A39" s="1">
        <v>41480</v>
      </c>
      <c r="B39" s="2">
        <v>1690.25</v>
      </c>
      <c r="C39" s="2">
        <v>38.945464000000001</v>
      </c>
      <c r="D39">
        <v>2.2803096405323853E-3</v>
      </c>
    </row>
    <row r="40" spans="1:4" x14ac:dyDescent="0.25">
      <c r="A40" s="1">
        <v>41481</v>
      </c>
      <c r="B40" s="2">
        <v>1691.650024</v>
      </c>
      <c r="C40" s="2">
        <v>38.945464000000001</v>
      </c>
      <c r="D40">
        <v>-8.2829403934336909E-4</v>
      </c>
    </row>
    <row r="41" spans="1:4" x14ac:dyDescent="0.25">
      <c r="A41" s="1">
        <v>41484</v>
      </c>
      <c r="B41" s="2">
        <v>1685.329956</v>
      </c>
      <c r="C41" s="2">
        <v>38.786121999999999</v>
      </c>
      <c r="D41">
        <v>-3.5537602915425293E-4</v>
      </c>
    </row>
    <row r="42" spans="1:4" x14ac:dyDescent="0.25">
      <c r="A42" s="1">
        <v>41485</v>
      </c>
      <c r="B42" s="2">
        <v>1685.959961</v>
      </c>
      <c r="C42" s="2">
        <v>38.879852</v>
      </c>
      <c r="D42">
        <v>2.0427690079427574E-3</v>
      </c>
    </row>
    <row r="43" spans="1:4" x14ac:dyDescent="0.25">
      <c r="A43" s="1">
        <v>41486</v>
      </c>
      <c r="B43" s="2">
        <v>1685.7299800000001</v>
      </c>
      <c r="C43" s="2">
        <v>38.936093</v>
      </c>
      <c r="D43">
        <v>1.582942810641752E-3</v>
      </c>
    </row>
    <row r="44" spans="1:4" x14ac:dyDescent="0.25">
      <c r="A44" s="1">
        <v>41487</v>
      </c>
      <c r="B44" s="2">
        <v>1706.869995</v>
      </c>
      <c r="C44" s="2">
        <v>39.545346000000002</v>
      </c>
      <c r="D44">
        <v>3.1069423411493879E-3</v>
      </c>
    </row>
    <row r="45" spans="1:4" x14ac:dyDescent="0.25">
      <c r="A45" s="1">
        <v>41488</v>
      </c>
      <c r="B45" s="2">
        <v>1709.670044</v>
      </c>
      <c r="C45" s="2">
        <v>39.592213999999998</v>
      </c>
      <c r="D45">
        <v>-4.5528720133769518E-4</v>
      </c>
    </row>
    <row r="46" spans="1:4" x14ac:dyDescent="0.25">
      <c r="A46" s="1">
        <v>41491</v>
      </c>
      <c r="B46" s="2">
        <v>1707.1400149999999</v>
      </c>
      <c r="C46" s="2">
        <v>39.545346000000002</v>
      </c>
      <c r="D46">
        <v>2.9606656538250231E-4</v>
      </c>
    </row>
    <row r="47" spans="1:4" x14ac:dyDescent="0.25">
      <c r="A47" s="1">
        <v>41492</v>
      </c>
      <c r="B47" s="2">
        <v>1697.369995</v>
      </c>
      <c r="C47" s="2">
        <v>39.301645000000001</v>
      </c>
      <c r="D47">
        <v>-4.395371423877581E-4</v>
      </c>
    </row>
    <row r="48" spans="1:4" x14ac:dyDescent="0.25">
      <c r="A48" s="1">
        <v>41493</v>
      </c>
      <c r="B48" s="2">
        <v>1690.910034</v>
      </c>
      <c r="C48" s="2">
        <v>39.095435000000002</v>
      </c>
      <c r="D48">
        <v>-1.440989204121057E-3</v>
      </c>
    </row>
    <row r="49" spans="1:4" x14ac:dyDescent="0.25">
      <c r="A49" s="1">
        <v>41494</v>
      </c>
      <c r="B49" s="2">
        <v>1697.4799800000001</v>
      </c>
      <c r="C49" s="2">
        <v>39.348509999999997</v>
      </c>
      <c r="D49">
        <v>2.587812391230182E-3</v>
      </c>
    </row>
    <row r="50" spans="1:4" x14ac:dyDescent="0.25">
      <c r="A50" s="1">
        <v>41495</v>
      </c>
      <c r="B50" s="2">
        <v>1691.420044</v>
      </c>
      <c r="C50" s="2">
        <v>39.311017</v>
      </c>
      <c r="D50">
        <v>2.6171160064332177E-3</v>
      </c>
    </row>
    <row r="51" spans="1:4" x14ac:dyDescent="0.25">
      <c r="A51" s="1">
        <v>41498</v>
      </c>
      <c r="B51" s="2">
        <v>1689.469971</v>
      </c>
      <c r="C51" s="2">
        <v>39.254779999999997</v>
      </c>
      <c r="D51">
        <v>-2.7764529653862002E-4</v>
      </c>
    </row>
    <row r="52" spans="1:4" x14ac:dyDescent="0.25">
      <c r="A52" s="1">
        <v>41499</v>
      </c>
      <c r="B52" s="2">
        <v>1694.160034</v>
      </c>
      <c r="C52" s="2">
        <v>39.320391999999998</v>
      </c>
      <c r="D52">
        <v>-1.1046160937151495E-3</v>
      </c>
    </row>
    <row r="53" spans="1:4" x14ac:dyDescent="0.25">
      <c r="A53" s="1">
        <v>41500</v>
      </c>
      <c r="B53" s="2">
        <v>1685.3900149999999</v>
      </c>
      <c r="C53" s="2">
        <v>39.114181000000002</v>
      </c>
      <c r="D53">
        <v>-6.7760224580992734E-5</v>
      </c>
    </row>
    <row r="54" spans="1:4" x14ac:dyDescent="0.25">
      <c r="A54" s="1">
        <v>41501</v>
      </c>
      <c r="B54" s="2">
        <v>1661.3199460000001</v>
      </c>
      <c r="C54" s="2">
        <v>38.533047000000003</v>
      </c>
      <c r="D54">
        <v>-5.7577183820156641E-4</v>
      </c>
    </row>
    <row r="55" spans="1:4" x14ac:dyDescent="0.25">
      <c r="A55" s="1">
        <v>41502</v>
      </c>
      <c r="B55" s="2">
        <v>1655.829956</v>
      </c>
      <c r="C55" s="2">
        <v>38.392448000000002</v>
      </c>
      <c r="D55">
        <v>-3.4419484056635863E-4</v>
      </c>
    </row>
    <row r="56" spans="1:4" x14ac:dyDescent="0.25">
      <c r="A56" s="1">
        <v>41505</v>
      </c>
      <c r="B56" s="2">
        <v>1646.0600589999999</v>
      </c>
      <c r="C56" s="2">
        <v>38.092506999999998</v>
      </c>
      <c r="D56">
        <v>-1.9121978798468664E-3</v>
      </c>
    </row>
    <row r="57" spans="1:4" x14ac:dyDescent="0.25">
      <c r="A57" s="1">
        <v>41506</v>
      </c>
      <c r="B57" s="2">
        <v>1652.349976</v>
      </c>
      <c r="C57" s="2">
        <v>38.401823</v>
      </c>
      <c r="D57">
        <v>4.2989318183528358E-3</v>
      </c>
    </row>
    <row r="58" spans="1:4" x14ac:dyDescent="0.25">
      <c r="A58" s="1">
        <v>41507</v>
      </c>
      <c r="B58" s="2">
        <v>1642.8000489999999</v>
      </c>
      <c r="C58" s="2">
        <v>38.130001</v>
      </c>
      <c r="D58">
        <v>-1.2987588051809329E-3</v>
      </c>
    </row>
    <row r="59" spans="1:4" x14ac:dyDescent="0.25">
      <c r="A59" s="1">
        <v>41508</v>
      </c>
      <c r="B59" s="2">
        <v>1656.959961</v>
      </c>
      <c r="C59" s="2">
        <v>38.542417999999998</v>
      </c>
      <c r="D59">
        <v>2.1966998795774906E-3</v>
      </c>
    </row>
    <row r="60" spans="1:4" x14ac:dyDescent="0.25">
      <c r="A60" s="1">
        <v>41509</v>
      </c>
      <c r="B60" s="2">
        <v>1663.5</v>
      </c>
      <c r="C60" s="2">
        <v>38.664270000000002</v>
      </c>
      <c r="D60">
        <v>-7.8550710886693409E-4</v>
      </c>
    </row>
    <row r="61" spans="1:4" x14ac:dyDescent="0.25">
      <c r="A61" s="1">
        <v>41512</v>
      </c>
      <c r="B61" s="2">
        <v>1656.780029</v>
      </c>
      <c r="C61" s="2">
        <v>38.523671</v>
      </c>
      <c r="D61">
        <v>4.0325152112041796E-4</v>
      </c>
    </row>
    <row r="62" spans="1:4" x14ac:dyDescent="0.25">
      <c r="A62" s="1">
        <v>41513</v>
      </c>
      <c r="B62" s="2">
        <v>1630.4799800000001</v>
      </c>
      <c r="C62" s="2">
        <v>37.839432000000002</v>
      </c>
      <c r="D62">
        <v>-1.8873263739634938E-3</v>
      </c>
    </row>
    <row r="63" spans="1:4" x14ac:dyDescent="0.25">
      <c r="A63" s="1">
        <v>41514</v>
      </c>
      <c r="B63" s="2">
        <v>1634.959961</v>
      </c>
      <c r="C63" s="2">
        <v>37.914417999999998</v>
      </c>
      <c r="D63">
        <v>-7.6595614659691336E-4</v>
      </c>
    </row>
    <row r="64" spans="1:4" x14ac:dyDescent="0.25">
      <c r="A64" s="1">
        <v>41515</v>
      </c>
      <c r="B64" s="2">
        <v>1638.170044</v>
      </c>
      <c r="C64" s="2">
        <v>38.026895000000003</v>
      </c>
      <c r="D64">
        <v>1.0032007115006181E-3</v>
      </c>
    </row>
    <row r="65" spans="1:4" x14ac:dyDescent="0.25">
      <c r="A65" s="1">
        <v>41516</v>
      </c>
      <c r="B65" s="2">
        <v>1632.969971</v>
      </c>
      <c r="C65" s="2">
        <v>37.858178000000002</v>
      </c>
      <c r="D65">
        <v>-1.2624626536630323E-3</v>
      </c>
    </row>
    <row r="66" spans="1:4" x14ac:dyDescent="0.25">
      <c r="A66" s="1">
        <v>41520</v>
      </c>
      <c r="B66" s="2">
        <v>1639.7700199999999</v>
      </c>
      <c r="C66" s="2">
        <v>38.045642000000001</v>
      </c>
      <c r="D66">
        <v>7.8752214086064143E-4</v>
      </c>
    </row>
    <row r="67" spans="1:4" x14ac:dyDescent="0.25">
      <c r="A67" s="1">
        <v>41521</v>
      </c>
      <c r="B67" s="2">
        <v>1653.079956</v>
      </c>
      <c r="C67" s="2">
        <v>38.411194999999999</v>
      </c>
      <c r="D67">
        <v>1.4913223512056373E-3</v>
      </c>
    </row>
    <row r="68" spans="1:4" x14ac:dyDescent="0.25">
      <c r="A68" s="1">
        <v>41522</v>
      </c>
      <c r="B68" s="2">
        <v>1655.079956</v>
      </c>
      <c r="C68" s="2">
        <v>38.504928</v>
      </c>
      <c r="D68">
        <v>1.2303892854452769E-3</v>
      </c>
    </row>
    <row r="69" spans="1:4" x14ac:dyDescent="0.25">
      <c r="A69" s="1">
        <v>41523</v>
      </c>
      <c r="B69" s="2">
        <v>1655.170044</v>
      </c>
      <c r="C69" s="2">
        <v>38.533047000000003</v>
      </c>
      <c r="D69">
        <v>6.7583895459377707E-4</v>
      </c>
    </row>
    <row r="70" spans="1:4" x14ac:dyDescent="0.25">
      <c r="A70" s="1">
        <v>41526</v>
      </c>
      <c r="B70" s="2">
        <v>1671.709961</v>
      </c>
      <c r="C70" s="2">
        <v>38.992328999999998</v>
      </c>
      <c r="D70">
        <v>1.9262907857731104E-3</v>
      </c>
    </row>
    <row r="71" spans="1:4" x14ac:dyDescent="0.25">
      <c r="A71" s="1">
        <v>41527</v>
      </c>
      <c r="B71" s="2">
        <v>1683.98999</v>
      </c>
      <c r="C71" s="2">
        <v>39.301645000000001</v>
      </c>
      <c r="D71">
        <v>5.8695058234570219E-4</v>
      </c>
    </row>
    <row r="72" spans="1:4" x14ac:dyDescent="0.25">
      <c r="A72" s="1">
        <v>41528</v>
      </c>
      <c r="B72" s="2">
        <v>1689.130005</v>
      </c>
      <c r="C72" s="2">
        <v>39.451616000000001</v>
      </c>
      <c r="D72">
        <v>7.6361267298752367E-4</v>
      </c>
    </row>
    <row r="73" spans="1:4" x14ac:dyDescent="0.25">
      <c r="A73" s="1">
        <v>41529</v>
      </c>
      <c r="B73" s="2">
        <v>1683.420044</v>
      </c>
      <c r="C73" s="2">
        <v>39.273527000000001</v>
      </c>
      <c r="D73">
        <v>-1.1336963135384348E-3</v>
      </c>
    </row>
    <row r="74" spans="1:4" x14ac:dyDescent="0.25">
      <c r="A74" s="1">
        <v>41530</v>
      </c>
      <c r="B74" s="2">
        <v>1687.98999</v>
      </c>
      <c r="C74" s="2">
        <v>39.386004</v>
      </c>
      <c r="D74">
        <v>1.4925979626623231E-4</v>
      </c>
    </row>
    <row r="75" spans="1:4" x14ac:dyDescent="0.25">
      <c r="A75" s="1">
        <v>41533</v>
      </c>
      <c r="B75" s="2">
        <v>1697.599976</v>
      </c>
      <c r="C75" s="2">
        <v>39.657826</v>
      </c>
      <c r="D75">
        <v>1.2083337082244849E-3</v>
      </c>
    </row>
    <row r="76" spans="1:4" x14ac:dyDescent="0.25">
      <c r="A76" s="1">
        <v>41534</v>
      </c>
      <c r="B76" s="2">
        <v>1704.76001</v>
      </c>
      <c r="C76" s="2">
        <v>39.845286000000002</v>
      </c>
      <c r="D76">
        <v>5.0919664300930201E-4</v>
      </c>
    </row>
    <row r="77" spans="1:4" x14ac:dyDescent="0.25">
      <c r="A77" s="1">
        <v>41535</v>
      </c>
      <c r="B77" s="2">
        <v>1725.5200199999999</v>
      </c>
      <c r="C77" s="2">
        <v>40.332690999999997</v>
      </c>
      <c r="D77">
        <v>5.4765204120066358E-5</v>
      </c>
    </row>
    <row r="78" spans="1:4" x14ac:dyDescent="0.25">
      <c r="A78" s="1">
        <v>41536</v>
      </c>
      <c r="B78" s="2">
        <v>1722.339966</v>
      </c>
      <c r="C78" s="2">
        <v>40.248331999999998</v>
      </c>
      <c r="D78">
        <v>-2.4862477752773948E-4</v>
      </c>
    </row>
    <row r="79" spans="1:4" x14ac:dyDescent="0.25">
      <c r="A79" s="1">
        <v>41537</v>
      </c>
      <c r="B79" s="2">
        <v>1709.910034</v>
      </c>
      <c r="C79" s="2">
        <v>39.910902</v>
      </c>
      <c r="D79">
        <v>-1.1668149946578721E-3</v>
      </c>
    </row>
    <row r="80" spans="1:4" x14ac:dyDescent="0.25">
      <c r="A80" s="1">
        <v>41540</v>
      </c>
      <c r="B80" s="2">
        <v>1701.839966</v>
      </c>
      <c r="C80" s="2">
        <v>39.704690999999997</v>
      </c>
      <c r="D80">
        <v>-4.4719743533350176E-4</v>
      </c>
    </row>
    <row r="81" spans="1:4" x14ac:dyDescent="0.25">
      <c r="A81" s="1">
        <v>41541</v>
      </c>
      <c r="B81" s="2">
        <v>1697.420044</v>
      </c>
      <c r="C81" s="2">
        <v>39.695315999999998</v>
      </c>
      <c r="D81">
        <v>2.3610249483629886E-3</v>
      </c>
    </row>
    <row r="82" spans="1:4" x14ac:dyDescent="0.25">
      <c r="A82" s="1">
        <v>41542</v>
      </c>
      <c r="B82" s="2">
        <v>1692.7700199999999</v>
      </c>
      <c r="C82" s="2">
        <v>39.610956999999999</v>
      </c>
      <c r="D82">
        <v>6.1430313060595321E-4</v>
      </c>
    </row>
    <row r="83" spans="1:4" x14ac:dyDescent="0.25">
      <c r="A83" s="1">
        <v>41543</v>
      </c>
      <c r="B83" s="2">
        <v>1698.670044</v>
      </c>
      <c r="C83" s="2">
        <v>39.732810000000001</v>
      </c>
      <c r="D83">
        <v>-4.0918083455987464E-4</v>
      </c>
    </row>
    <row r="84" spans="1:4" x14ac:dyDescent="0.25">
      <c r="A84" s="1">
        <v>41544</v>
      </c>
      <c r="B84" s="2">
        <v>1691.75</v>
      </c>
      <c r="C84" s="2">
        <v>39.545346000000002</v>
      </c>
      <c r="D84">
        <v>-6.4431467171499612E-4</v>
      </c>
    </row>
    <row r="85" spans="1:4" x14ac:dyDescent="0.25">
      <c r="A85" s="1">
        <v>41547</v>
      </c>
      <c r="B85" s="2">
        <v>1681.5500489999999</v>
      </c>
      <c r="C85" s="2">
        <v>39.367257000000002</v>
      </c>
      <c r="D85">
        <v>1.5258183172012219E-3</v>
      </c>
    </row>
    <row r="86" spans="1:4" x14ac:dyDescent="0.25">
      <c r="A86" s="1">
        <v>41548</v>
      </c>
      <c r="B86" s="2">
        <v>1695</v>
      </c>
      <c r="C86" s="2">
        <v>39.704690999999997</v>
      </c>
      <c r="D86">
        <v>5.7289456128750693E-4</v>
      </c>
    </row>
    <row r="87" spans="1:4" x14ac:dyDescent="0.25">
      <c r="A87" s="1">
        <v>41549</v>
      </c>
      <c r="B87" s="2">
        <v>1693.869995</v>
      </c>
      <c r="C87" s="2">
        <v>39.695315999999998</v>
      </c>
      <c r="D87">
        <v>4.3055142081283027E-4</v>
      </c>
    </row>
    <row r="88" spans="1:4" x14ac:dyDescent="0.25">
      <c r="A88" s="1">
        <v>41550</v>
      </c>
      <c r="B88" s="2">
        <v>1678.660034</v>
      </c>
      <c r="C88" s="2">
        <v>39.329763999999997</v>
      </c>
      <c r="D88">
        <v>-2.2953083696530818E-4</v>
      </c>
    </row>
    <row r="89" spans="1:4" x14ac:dyDescent="0.25">
      <c r="A89" s="1">
        <v>41551</v>
      </c>
      <c r="B89" s="2">
        <v>1690.5</v>
      </c>
      <c r="C89" s="2">
        <v>39.657826</v>
      </c>
      <c r="D89">
        <v>1.288091808189229E-3</v>
      </c>
    </row>
    <row r="90" spans="1:4" x14ac:dyDescent="0.25">
      <c r="A90" s="1">
        <v>41554</v>
      </c>
      <c r="B90" s="2">
        <v>1676.119995</v>
      </c>
      <c r="C90" s="2">
        <v>39.282898000000003</v>
      </c>
      <c r="D90">
        <v>-9.4771143017458037E-4</v>
      </c>
    </row>
    <row r="91" spans="1:4" x14ac:dyDescent="0.25">
      <c r="A91" s="1">
        <v>41555</v>
      </c>
      <c r="B91" s="2">
        <v>1655.4499510000001</v>
      </c>
      <c r="C91" s="2">
        <v>38.776747</v>
      </c>
      <c r="D91">
        <v>-5.5268842463462864E-4</v>
      </c>
    </row>
    <row r="92" spans="1:4" x14ac:dyDescent="0.25">
      <c r="A92" s="1">
        <v>41556</v>
      </c>
      <c r="B92" s="2">
        <v>1656.400024</v>
      </c>
      <c r="C92" s="2">
        <v>38.795493999999998</v>
      </c>
      <c r="D92">
        <v>-9.0446363066654101E-5</v>
      </c>
    </row>
    <row r="93" spans="1:4" x14ac:dyDescent="0.25">
      <c r="A93" s="1">
        <v>41557</v>
      </c>
      <c r="B93" s="2">
        <v>1692.5600589999999</v>
      </c>
      <c r="C93" s="2">
        <v>39.648451000000001</v>
      </c>
      <c r="D93">
        <v>1.554846110862762E-4</v>
      </c>
    </row>
    <row r="94" spans="1:4" x14ac:dyDescent="0.25">
      <c r="A94" s="1">
        <v>41558</v>
      </c>
      <c r="B94" s="2">
        <v>1703.1999510000001</v>
      </c>
      <c r="C94" s="2">
        <v>39.910902</v>
      </c>
      <c r="D94">
        <v>3.3318007522775694E-4</v>
      </c>
    </row>
    <row r="95" spans="1:4" x14ac:dyDescent="0.25">
      <c r="A95" s="1">
        <v>41561</v>
      </c>
      <c r="B95" s="2">
        <v>1710.1400149999999</v>
      </c>
      <c r="C95" s="2">
        <v>40.042124999999999</v>
      </c>
      <c r="D95">
        <v>-7.868220134927828E-4</v>
      </c>
    </row>
    <row r="96" spans="1:4" x14ac:dyDescent="0.25">
      <c r="A96" s="1">
        <v>41562</v>
      </c>
      <c r="B96" s="2">
        <v>1698.0600589999999</v>
      </c>
      <c r="C96" s="2">
        <v>39.695315999999998</v>
      </c>
      <c r="D96">
        <v>-1.5973803991971014E-3</v>
      </c>
    </row>
    <row r="97" spans="1:4" x14ac:dyDescent="0.25">
      <c r="A97" s="1">
        <v>41563</v>
      </c>
      <c r="B97" s="2">
        <v>1721.540039</v>
      </c>
      <c r="C97" s="2">
        <v>40.238961000000003</v>
      </c>
      <c r="D97">
        <v>-1.3208754473570394E-4</v>
      </c>
    </row>
    <row r="98" spans="1:4" x14ac:dyDescent="0.25">
      <c r="A98" s="1">
        <v>41564</v>
      </c>
      <c r="B98" s="2">
        <v>1733.150024</v>
      </c>
      <c r="C98" s="2">
        <v>40.585766999999997</v>
      </c>
      <c r="D98">
        <v>1.8747089626172109E-3</v>
      </c>
    </row>
    <row r="99" spans="1:4" x14ac:dyDescent="0.25">
      <c r="A99" s="1">
        <v>41565</v>
      </c>
      <c r="B99" s="2">
        <v>1744.5</v>
      </c>
      <c r="C99" s="2">
        <v>40.810724</v>
      </c>
      <c r="D99">
        <v>-1.0059997306586244E-3</v>
      </c>
    </row>
    <row r="100" spans="1:4" x14ac:dyDescent="0.25">
      <c r="A100" s="1">
        <v>41568</v>
      </c>
      <c r="B100" s="2">
        <v>1744.660034</v>
      </c>
      <c r="C100" s="2">
        <v>40.782601999999997</v>
      </c>
      <c r="D100">
        <v>-7.8081989912126559E-4</v>
      </c>
    </row>
    <row r="101" spans="1:4" x14ac:dyDescent="0.25">
      <c r="A101" s="1">
        <v>41569</v>
      </c>
      <c r="B101" s="2">
        <v>1754.670044</v>
      </c>
      <c r="C101" s="2">
        <v>41.063800000000001</v>
      </c>
      <c r="D101">
        <v>1.1575348257726326E-3</v>
      </c>
    </row>
    <row r="102" spans="1:4" x14ac:dyDescent="0.25">
      <c r="A102" s="1">
        <v>41570</v>
      </c>
      <c r="B102" s="2">
        <v>1746.380005</v>
      </c>
      <c r="C102" s="2">
        <v>40.829470999999998</v>
      </c>
      <c r="D102">
        <v>-9.8190444665913201E-4</v>
      </c>
    </row>
    <row r="103" spans="1:4" x14ac:dyDescent="0.25">
      <c r="A103" s="1">
        <v>41571</v>
      </c>
      <c r="B103" s="2">
        <v>1752.0699460000001</v>
      </c>
      <c r="C103" s="2">
        <v>40.951318999999998</v>
      </c>
      <c r="D103">
        <v>-2.7381959912586851E-4</v>
      </c>
    </row>
    <row r="104" spans="1:4" x14ac:dyDescent="0.25">
      <c r="A104" s="1">
        <v>41572</v>
      </c>
      <c r="B104" s="2">
        <v>1759.7700199999999</v>
      </c>
      <c r="C104" s="2">
        <v>41.157530000000001</v>
      </c>
      <c r="D104">
        <v>6.4067151289326496E-4</v>
      </c>
    </row>
    <row r="105" spans="1:4" x14ac:dyDescent="0.25">
      <c r="A105" s="1">
        <v>41575</v>
      </c>
      <c r="B105" s="2">
        <v>1762.1099850000001</v>
      </c>
      <c r="C105" s="2">
        <v>41.166901000000003</v>
      </c>
      <c r="D105">
        <v>-1.1020131596435334E-3</v>
      </c>
    </row>
    <row r="106" spans="1:4" x14ac:dyDescent="0.25">
      <c r="A106" s="1">
        <v>41576</v>
      </c>
      <c r="B106" s="2">
        <v>1771.9499510000001</v>
      </c>
      <c r="C106" s="2">
        <v>41.429352000000002</v>
      </c>
      <c r="D106">
        <v>7.9109651326314534E-4</v>
      </c>
    </row>
    <row r="107" spans="1:4" x14ac:dyDescent="0.25">
      <c r="A107" s="1">
        <v>41577</v>
      </c>
      <c r="B107" s="2">
        <v>1763.3100589999999</v>
      </c>
      <c r="C107" s="2">
        <v>41.157530000000001</v>
      </c>
      <c r="D107">
        <v>-1.6851737991732119E-3</v>
      </c>
    </row>
    <row r="108" spans="1:4" x14ac:dyDescent="0.25">
      <c r="A108" s="1">
        <v>41578</v>
      </c>
      <c r="B108" s="2">
        <v>1756.540039</v>
      </c>
      <c r="C108" s="2">
        <v>41.045053000000003</v>
      </c>
      <c r="D108">
        <v>1.1065401353648197E-3</v>
      </c>
    </row>
    <row r="109" spans="1:4" x14ac:dyDescent="0.25">
      <c r="A109" s="1">
        <v>41579</v>
      </c>
      <c r="B109" s="2">
        <v>1761.6400149999999</v>
      </c>
      <c r="C109" s="2">
        <v>41.176276000000001</v>
      </c>
      <c r="D109">
        <v>2.9362645322206227E-4</v>
      </c>
    </row>
    <row r="110" spans="1:4" x14ac:dyDescent="0.25">
      <c r="A110" s="1">
        <v>41582</v>
      </c>
      <c r="B110" s="2">
        <v>1767.9300539999999</v>
      </c>
      <c r="C110" s="2">
        <v>41.401229999999998</v>
      </c>
      <c r="D110">
        <v>1.8926357353732381E-3</v>
      </c>
    </row>
    <row r="111" spans="1:4" x14ac:dyDescent="0.25">
      <c r="A111" s="1">
        <v>41583</v>
      </c>
      <c r="B111" s="2">
        <v>1762.969971</v>
      </c>
      <c r="C111" s="2">
        <v>41.241888000000003</v>
      </c>
      <c r="D111">
        <v>-1.0431384282669764E-3</v>
      </c>
    </row>
    <row r="112" spans="1:4" x14ac:dyDescent="0.25">
      <c r="A112" s="1">
        <v>41584</v>
      </c>
      <c r="B112" s="2">
        <v>1770.48999</v>
      </c>
      <c r="C112" s="2">
        <v>41.335617999999997</v>
      </c>
      <c r="D112">
        <v>-1.9928506807143087E-3</v>
      </c>
    </row>
    <row r="113" spans="1:4" x14ac:dyDescent="0.25">
      <c r="A113" s="1">
        <v>41585</v>
      </c>
      <c r="B113" s="2">
        <v>1747.150024</v>
      </c>
      <c r="C113" s="2">
        <v>40.726365000000001</v>
      </c>
      <c r="D113">
        <v>-1.5564051639184173E-3</v>
      </c>
    </row>
    <row r="114" spans="1:4" x14ac:dyDescent="0.25">
      <c r="A114" s="1">
        <v>41586</v>
      </c>
      <c r="B114" s="2">
        <v>1770.6099850000001</v>
      </c>
      <c r="C114" s="2">
        <v>41.270007</v>
      </c>
      <c r="D114">
        <v>-7.8909363126822285E-5</v>
      </c>
    </row>
    <row r="115" spans="1:4" x14ac:dyDescent="0.25">
      <c r="A115" s="1">
        <v>41589</v>
      </c>
      <c r="B115" s="2">
        <v>1771.8900149999999</v>
      </c>
      <c r="C115" s="2">
        <v>41.335617999999997</v>
      </c>
      <c r="D115">
        <v>8.6686696458504464E-4</v>
      </c>
    </row>
    <row r="116" spans="1:4" x14ac:dyDescent="0.25">
      <c r="A116" s="1">
        <v>41590</v>
      </c>
      <c r="B116" s="2">
        <v>1767.6899410000001</v>
      </c>
      <c r="C116" s="2">
        <v>41.232517000000001</v>
      </c>
      <c r="D116">
        <v>-1.2384911792806541E-4</v>
      </c>
    </row>
    <row r="117" spans="1:4" x14ac:dyDescent="0.25">
      <c r="A117" s="1">
        <v>41591</v>
      </c>
      <c r="B117" s="2">
        <v>1782</v>
      </c>
      <c r="C117" s="2">
        <v>41.607441000000001</v>
      </c>
      <c r="D117">
        <v>9.9757604544903344E-4</v>
      </c>
    </row>
    <row r="118" spans="1:4" x14ac:dyDescent="0.25">
      <c r="A118" s="1">
        <v>41592</v>
      </c>
      <c r="B118" s="2">
        <v>1790.619995</v>
      </c>
      <c r="C118" s="2">
        <v>41.823022999999999</v>
      </c>
      <c r="D118">
        <v>3.4407413129300402E-4</v>
      </c>
    </row>
    <row r="119" spans="1:4" x14ac:dyDescent="0.25">
      <c r="A119" s="1">
        <v>41593</v>
      </c>
      <c r="B119" s="2">
        <v>1798.1800539999999</v>
      </c>
      <c r="C119" s="2">
        <v>42.001114999999999</v>
      </c>
      <c r="D119">
        <v>3.6194495844021901E-5</v>
      </c>
    </row>
    <row r="120" spans="1:4" x14ac:dyDescent="0.25">
      <c r="A120" s="1">
        <v>41596</v>
      </c>
      <c r="B120" s="2">
        <v>1791.530029</v>
      </c>
      <c r="C120" s="2">
        <v>41.766786000000003</v>
      </c>
      <c r="D120">
        <v>-1.8809162815924818E-3</v>
      </c>
    </row>
    <row r="121" spans="1:4" x14ac:dyDescent="0.25">
      <c r="A121" s="1">
        <v>41597</v>
      </c>
      <c r="B121" s="2">
        <v>1787.869995</v>
      </c>
      <c r="C121" s="2">
        <v>41.598069000000002</v>
      </c>
      <c r="D121">
        <v>-1.9965361501054213E-3</v>
      </c>
    </row>
    <row r="122" spans="1:4" x14ac:dyDescent="0.25">
      <c r="A122" s="1">
        <v>41598</v>
      </c>
      <c r="B122" s="2">
        <v>1781.369995</v>
      </c>
      <c r="C122" s="2">
        <v>41.457470000000001</v>
      </c>
      <c r="D122">
        <v>2.5567055562292218E-4</v>
      </c>
    </row>
    <row r="123" spans="1:4" x14ac:dyDescent="0.25">
      <c r="A123" s="1">
        <v>41599</v>
      </c>
      <c r="B123" s="2">
        <v>1795.849976</v>
      </c>
      <c r="C123" s="2">
        <v>41.823022999999999</v>
      </c>
      <c r="D123">
        <v>6.8897785692811908E-4</v>
      </c>
    </row>
    <row r="124" spans="1:4" x14ac:dyDescent="0.25">
      <c r="A124" s="1">
        <v>41600</v>
      </c>
      <c r="B124" s="2">
        <v>1804.76001</v>
      </c>
      <c r="C124" s="2">
        <v>42.010486999999998</v>
      </c>
      <c r="D124">
        <v>-4.7914199520904255E-4</v>
      </c>
    </row>
    <row r="125" spans="1:4" x14ac:dyDescent="0.25">
      <c r="A125" s="1">
        <v>41603</v>
      </c>
      <c r="B125" s="2">
        <v>1802.4799800000001</v>
      </c>
      <c r="C125" s="2">
        <v>41.916756999999997</v>
      </c>
      <c r="D125">
        <v>-9.6776709256052307E-4</v>
      </c>
    </row>
    <row r="126" spans="1:4" x14ac:dyDescent="0.25">
      <c r="A126" s="1">
        <v>41604</v>
      </c>
      <c r="B126" s="2">
        <v>1802.75</v>
      </c>
      <c r="C126" s="2">
        <v>41.944875000000003</v>
      </c>
      <c r="D126">
        <v>5.2100099625684848E-4</v>
      </c>
    </row>
    <row r="127" spans="1:4" x14ac:dyDescent="0.25">
      <c r="A127" s="1">
        <v>41605</v>
      </c>
      <c r="B127" s="2">
        <v>1807.2299800000001</v>
      </c>
      <c r="C127" s="2">
        <v>42.057352000000002</v>
      </c>
      <c r="D127">
        <v>1.9646220909375067E-4</v>
      </c>
    </row>
    <row r="128" spans="1:4" x14ac:dyDescent="0.25">
      <c r="A128" s="1">
        <v>41607</v>
      </c>
      <c r="B128" s="2">
        <v>1805.8100589999999</v>
      </c>
      <c r="C128" s="2">
        <v>41.982368999999998</v>
      </c>
      <c r="D128">
        <v>-9.9718580831320569E-4</v>
      </c>
    </row>
    <row r="129" spans="1:4" x14ac:dyDescent="0.25">
      <c r="A129" s="1">
        <v>41610</v>
      </c>
      <c r="B129" s="2">
        <v>1800.900024</v>
      </c>
      <c r="C129" s="2">
        <v>41.888635000000001</v>
      </c>
      <c r="D129">
        <v>4.8632157840855506E-4</v>
      </c>
    </row>
    <row r="130" spans="1:4" x14ac:dyDescent="0.25">
      <c r="A130" s="1">
        <v>41611</v>
      </c>
      <c r="B130" s="2">
        <v>1795.150024</v>
      </c>
      <c r="C130" s="2">
        <v>41.748040000000003</v>
      </c>
      <c r="D130">
        <v>-1.6355167562553952E-4</v>
      </c>
    </row>
    <row r="131" spans="1:4" x14ac:dyDescent="0.25">
      <c r="A131" s="1">
        <v>41612</v>
      </c>
      <c r="B131" s="2">
        <v>1792.8100589999999</v>
      </c>
      <c r="C131" s="2">
        <v>41.691799000000003</v>
      </c>
      <c r="D131">
        <v>-4.3660337040174468E-5</v>
      </c>
    </row>
    <row r="132" spans="1:4" x14ac:dyDescent="0.25">
      <c r="A132" s="1">
        <v>41613</v>
      </c>
      <c r="B132" s="2">
        <v>1785.030029</v>
      </c>
      <c r="C132" s="2">
        <v>41.523082000000002</v>
      </c>
      <c r="D132">
        <v>2.9280584241186958E-4</v>
      </c>
    </row>
    <row r="133" spans="1:4" x14ac:dyDescent="0.25">
      <c r="A133" s="1">
        <v>41614</v>
      </c>
      <c r="B133" s="2">
        <v>1805.089966</v>
      </c>
      <c r="C133" s="2">
        <v>42.001114999999999</v>
      </c>
      <c r="D133">
        <v>2.7459343082503196E-4</v>
      </c>
    </row>
    <row r="134" spans="1:4" x14ac:dyDescent="0.25">
      <c r="A134" s="1">
        <v>41617</v>
      </c>
      <c r="B134" s="2">
        <v>1808.369995</v>
      </c>
      <c r="C134" s="2">
        <v>42.047980000000003</v>
      </c>
      <c r="D134">
        <v>-7.0129630121895659E-4</v>
      </c>
    </row>
    <row r="135" spans="1:4" x14ac:dyDescent="0.25">
      <c r="A135" s="1">
        <v>41618</v>
      </c>
      <c r="B135" s="2">
        <v>1802.619995</v>
      </c>
      <c r="C135" s="2">
        <v>41.944875000000003</v>
      </c>
      <c r="D135">
        <v>7.2757929555800072E-4</v>
      </c>
    </row>
    <row r="136" spans="1:4" x14ac:dyDescent="0.25">
      <c r="A136" s="1">
        <v>41619</v>
      </c>
      <c r="B136" s="2">
        <v>1782.219971</v>
      </c>
      <c r="C136" s="2">
        <v>41.401229999999998</v>
      </c>
      <c r="D136">
        <v>-1.6440654461645776E-3</v>
      </c>
    </row>
    <row r="137" spans="1:4" x14ac:dyDescent="0.25">
      <c r="A137" s="1">
        <v>41620</v>
      </c>
      <c r="B137" s="2">
        <v>1775.5</v>
      </c>
      <c r="C137" s="2">
        <v>41.307499999999997</v>
      </c>
      <c r="D137">
        <v>1.5066196572881552E-3</v>
      </c>
    </row>
    <row r="138" spans="1:4" x14ac:dyDescent="0.25">
      <c r="A138" s="1">
        <v>41621</v>
      </c>
      <c r="B138" s="2">
        <v>1775.3199460000001</v>
      </c>
      <c r="C138" s="2">
        <v>41.369843000000003</v>
      </c>
      <c r="D138">
        <v>1.6106519700921362E-3</v>
      </c>
    </row>
    <row r="139" spans="1:4" x14ac:dyDescent="0.25">
      <c r="A139" s="1">
        <v>41624</v>
      </c>
      <c r="B139" s="2">
        <v>1786.540039</v>
      </c>
      <c r="C139" s="2">
        <v>41.671810000000001</v>
      </c>
      <c r="D139">
        <v>9.7916588933744109E-4</v>
      </c>
    </row>
    <row r="140" spans="1:4" x14ac:dyDescent="0.25">
      <c r="A140" s="1">
        <v>41625</v>
      </c>
      <c r="B140" s="2">
        <v>1781</v>
      </c>
      <c r="C140" s="2">
        <v>41.613366999999997</v>
      </c>
      <c r="D140">
        <v>1.6985289950048887E-3</v>
      </c>
    </row>
    <row r="141" spans="1:4" x14ac:dyDescent="0.25">
      <c r="A141" s="1">
        <v>41626</v>
      </c>
      <c r="B141" s="2">
        <v>1810.650024</v>
      </c>
      <c r="C141" s="2">
        <v>42.236787999999997</v>
      </c>
      <c r="D141">
        <v>-1.6666961470612751E-3</v>
      </c>
    </row>
    <row r="142" spans="1:4" x14ac:dyDescent="0.25">
      <c r="A142" s="1">
        <v>41627</v>
      </c>
      <c r="B142" s="2">
        <v>1809.599976</v>
      </c>
      <c r="C142" s="2">
        <v>42.197823</v>
      </c>
      <c r="D142">
        <v>-3.4260826013199353E-4</v>
      </c>
    </row>
    <row r="143" spans="1:4" x14ac:dyDescent="0.25">
      <c r="A143" s="1">
        <v>41628</v>
      </c>
      <c r="B143" s="2">
        <v>1818.3199460000001</v>
      </c>
      <c r="C143" s="2">
        <v>42.470568999999998</v>
      </c>
      <c r="D143">
        <v>1.6447808332824554E-3</v>
      </c>
    </row>
    <row r="144" spans="1:4" x14ac:dyDescent="0.25">
      <c r="A144" s="1">
        <v>41631</v>
      </c>
      <c r="B144" s="2">
        <v>1827.98999</v>
      </c>
      <c r="C144" s="2">
        <v>42.694614000000001</v>
      </c>
      <c r="D144">
        <v>-4.28200076518781E-5</v>
      </c>
    </row>
    <row r="145" spans="1:4" x14ac:dyDescent="0.25">
      <c r="A145" s="1">
        <v>41632</v>
      </c>
      <c r="B145" s="2">
        <v>1833.3199460000001</v>
      </c>
      <c r="C145" s="2">
        <v>42.850468999999997</v>
      </c>
      <c r="D145">
        <v>7.3471363404697954E-4</v>
      </c>
    </row>
    <row r="146" spans="1:4" x14ac:dyDescent="0.25">
      <c r="A146" s="1">
        <v>41634</v>
      </c>
      <c r="B146" s="2">
        <v>1842.0200199999999</v>
      </c>
      <c r="C146" s="2">
        <v>42.996580999999999</v>
      </c>
      <c r="D146">
        <v>-1.3357185746776246E-3</v>
      </c>
    </row>
    <row r="147" spans="1:4" x14ac:dyDescent="0.25">
      <c r="A147" s="1">
        <v>41635</v>
      </c>
      <c r="B147" s="2">
        <v>1841.400024</v>
      </c>
      <c r="C147" s="2">
        <v>43.016063000000003</v>
      </c>
      <c r="D147">
        <v>7.8969062717915151E-4</v>
      </c>
    </row>
    <row r="148" spans="1:4" x14ac:dyDescent="0.25">
      <c r="A148" s="1">
        <v>41638</v>
      </c>
      <c r="B148" s="2">
        <v>1841.0699460000001</v>
      </c>
      <c r="C148" s="2">
        <v>43.064767000000003</v>
      </c>
      <c r="D148">
        <v>1.3114820359996227E-3</v>
      </c>
    </row>
    <row r="149" spans="1:4" x14ac:dyDescent="0.25">
      <c r="A149" s="1">
        <v>41639</v>
      </c>
      <c r="B149" s="2">
        <v>1848.3599850000001</v>
      </c>
      <c r="C149" s="2">
        <v>43.201140000000002</v>
      </c>
      <c r="D149">
        <v>-7.9297978619807807E-4</v>
      </c>
    </row>
    <row r="150" spans="1:4" x14ac:dyDescent="0.25">
      <c r="A150" s="1">
        <v>41641</v>
      </c>
      <c r="B150" s="2">
        <v>1831.9799800000001</v>
      </c>
      <c r="C150" s="2">
        <v>42.792022000000003</v>
      </c>
      <c r="D150">
        <v>-6.0816137479213772E-4</v>
      </c>
    </row>
    <row r="151" spans="1:4" x14ac:dyDescent="0.25">
      <c r="A151" s="1">
        <v>41642</v>
      </c>
      <c r="B151" s="2">
        <v>1831.369995</v>
      </c>
      <c r="C151" s="2">
        <v>42.801760999999999</v>
      </c>
      <c r="D151">
        <v>5.6055403517940583E-4</v>
      </c>
    </row>
    <row r="152" spans="1:4" x14ac:dyDescent="0.25">
      <c r="A152" s="1">
        <v>41645</v>
      </c>
      <c r="B152" s="2">
        <v>1826.7700199999999</v>
      </c>
      <c r="C152" s="2">
        <v>42.645905999999997</v>
      </c>
      <c r="D152">
        <v>-1.1295549870709021E-3</v>
      </c>
    </row>
    <row r="153" spans="1:4" x14ac:dyDescent="0.25">
      <c r="A153" s="1">
        <v>41646</v>
      </c>
      <c r="B153" s="2">
        <v>1837.880005</v>
      </c>
      <c r="C153" s="2">
        <v>42.908912000000001</v>
      </c>
      <c r="D153">
        <v>8.5439482902183173E-5</v>
      </c>
    </row>
    <row r="154" spans="1:4" x14ac:dyDescent="0.25">
      <c r="A154" s="1">
        <v>41647</v>
      </c>
      <c r="B154" s="2">
        <v>1837.48999</v>
      </c>
      <c r="C154" s="2">
        <v>42.947876999999998</v>
      </c>
      <c r="D154">
        <v>1.1202955885893928E-3</v>
      </c>
    </row>
    <row r="155" spans="1:4" x14ac:dyDescent="0.25">
      <c r="A155" s="1">
        <v>41648</v>
      </c>
      <c r="B155" s="2">
        <v>1838.130005</v>
      </c>
      <c r="C155" s="2">
        <v>42.996580999999999</v>
      </c>
      <c r="D155">
        <v>7.8571640620306304E-4</v>
      </c>
    </row>
    <row r="156" spans="1:4" x14ac:dyDescent="0.25">
      <c r="A156" s="1">
        <v>41649</v>
      </c>
      <c r="B156" s="2">
        <v>1842.369995</v>
      </c>
      <c r="C156" s="2">
        <v>43.181662000000003</v>
      </c>
      <c r="D156">
        <v>1.9978648834890755E-3</v>
      </c>
    </row>
    <row r="157" spans="1:4" x14ac:dyDescent="0.25">
      <c r="A157" s="1">
        <v>41652</v>
      </c>
      <c r="B157" s="2">
        <v>1819.1999510000001</v>
      </c>
      <c r="C157" s="2">
        <v>42.597202000000003</v>
      </c>
      <c r="D157">
        <v>-9.5869557366179414E-4</v>
      </c>
    </row>
    <row r="158" spans="1:4" x14ac:dyDescent="0.25">
      <c r="A158" s="1">
        <v>41653</v>
      </c>
      <c r="B158" s="2">
        <v>1838.880005</v>
      </c>
      <c r="C158" s="2">
        <v>43.064767000000003</v>
      </c>
      <c r="D158">
        <v>1.5845323793728383E-4</v>
      </c>
    </row>
    <row r="159" spans="1:4" x14ac:dyDescent="0.25">
      <c r="A159" s="1">
        <v>41654</v>
      </c>
      <c r="B159" s="2">
        <v>1848.380005</v>
      </c>
      <c r="C159" s="2">
        <v>43.210883000000003</v>
      </c>
      <c r="D159">
        <v>-1.7732520606548174E-3</v>
      </c>
    </row>
    <row r="160" spans="1:4" x14ac:dyDescent="0.25">
      <c r="A160" s="1">
        <v>41655</v>
      </c>
      <c r="B160" s="2">
        <v>1845.8900149999999</v>
      </c>
      <c r="C160" s="2">
        <v>43.171919000000003</v>
      </c>
      <c r="D160">
        <v>4.4540289461336702E-4</v>
      </c>
    </row>
    <row r="161" spans="1:4" x14ac:dyDescent="0.25">
      <c r="A161" s="1">
        <v>41656</v>
      </c>
      <c r="B161" s="2">
        <v>1838.6999510000001</v>
      </c>
      <c r="C161" s="2">
        <v>43.035545999999997</v>
      </c>
      <c r="D161">
        <v>7.3633892998004047E-4</v>
      </c>
    </row>
    <row r="162" spans="1:4" x14ac:dyDescent="0.25">
      <c r="A162" s="1">
        <v>41660</v>
      </c>
      <c r="B162" s="2">
        <v>1843.8000489999999</v>
      </c>
      <c r="C162" s="2">
        <v>43.171919000000003</v>
      </c>
      <c r="D162">
        <v>3.9509340500498702E-4</v>
      </c>
    </row>
    <row r="163" spans="1:4" x14ac:dyDescent="0.25">
      <c r="A163" s="1">
        <v>41661</v>
      </c>
      <c r="B163" s="2">
        <v>1844.8599850000001</v>
      </c>
      <c r="C163" s="2">
        <v>43.279069999999997</v>
      </c>
      <c r="D163">
        <v>1.9070956164974895E-3</v>
      </c>
    </row>
    <row r="164" spans="1:4" x14ac:dyDescent="0.25">
      <c r="A164" s="1">
        <v>41662</v>
      </c>
      <c r="B164" s="2">
        <v>1828.459961</v>
      </c>
      <c r="C164" s="2">
        <v>42.830987</v>
      </c>
      <c r="D164">
        <v>-1.4637651790095907E-3</v>
      </c>
    </row>
    <row r="165" spans="1:4" x14ac:dyDescent="0.25">
      <c r="A165" s="1">
        <v>41663</v>
      </c>
      <c r="B165" s="2">
        <v>1790.290039</v>
      </c>
      <c r="C165" s="2">
        <v>41.866630000000001</v>
      </c>
      <c r="D165">
        <v>-1.6399559231520255E-3</v>
      </c>
    </row>
    <row r="166" spans="1:4" x14ac:dyDescent="0.25">
      <c r="A166" s="1">
        <v>41666</v>
      </c>
      <c r="B166" s="2">
        <v>1781.5600589999999</v>
      </c>
      <c r="C166" s="2">
        <v>41.691293000000002</v>
      </c>
      <c r="D166">
        <v>6.883043419649848E-4</v>
      </c>
    </row>
    <row r="167" spans="1:4" x14ac:dyDescent="0.25">
      <c r="A167" s="1">
        <v>41667</v>
      </c>
      <c r="B167" s="2">
        <v>1792.5</v>
      </c>
      <c r="C167" s="2">
        <v>42.061450000000001</v>
      </c>
      <c r="D167">
        <v>2.7378681394774063E-3</v>
      </c>
    </row>
    <row r="168" spans="1:4" x14ac:dyDescent="0.25">
      <c r="A168" s="1">
        <v>41668</v>
      </c>
      <c r="B168" s="2">
        <v>1774.1999510000001</v>
      </c>
      <c r="C168" s="2">
        <v>41.671810000000001</v>
      </c>
      <c r="D168">
        <v>9.4564301335675616E-4</v>
      </c>
    </row>
    <row r="169" spans="1:4" x14ac:dyDescent="0.25">
      <c r="A169" s="1">
        <v>41669</v>
      </c>
      <c r="B169" s="2">
        <v>1794.1899410000001</v>
      </c>
      <c r="C169" s="2">
        <v>42.149118999999999</v>
      </c>
      <c r="D169">
        <v>1.8695750514718945E-4</v>
      </c>
    </row>
    <row r="170" spans="1:4" x14ac:dyDescent="0.25">
      <c r="A170" s="1">
        <v>41670</v>
      </c>
      <c r="B170" s="2">
        <v>1782.589966</v>
      </c>
      <c r="C170" s="2">
        <v>41.915334000000001</v>
      </c>
      <c r="D170">
        <v>9.186827909769546E-4</v>
      </c>
    </row>
    <row r="171" spans="1:4" x14ac:dyDescent="0.25">
      <c r="A171" s="1">
        <v>41673</v>
      </c>
      <c r="B171" s="2">
        <v>1741.8900149999999</v>
      </c>
      <c r="C171" s="2">
        <v>40.902278000000003</v>
      </c>
      <c r="D171">
        <v>-1.3371826886463545E-3</v>
      </c>
    </row>
    <row r="172" spans="1:4" x14ac:dyDescent="0.25">
      <c r="A172" s="1">
        <v>41674</v>
      </c>
      <c r="B172" s="2">
        <v>1755.1999510000001</v>
      </c>
      <c r="C172" s="2">
        <v>41.252949000000001</v>
      </c>
      <c r="D172">
        <v>9.3229693365737276E-4</v>
      </c>
    </row>
    <row r="173" spans="1:4" x14ac:dyDescent="0.25">
      <c r="A173" s="1">
        <v>41675</v>
      </c>
      <c r="B173" s="2">
        <v>1751.6400149999999</v>
      </c>
      <c r="C173" s="2">
        <v>41.165280000000003</v>
      </c>
      <c r="D173">
        <v>-9.6934680074656221E-5</v>
      </c>
    </row>
    <row r="174" spans="1:4" x14ac:dyDescent="0.25">
      <c r="A174" s="1">
        <v>41676</v>
      </c>
      <c r="B174" s="2">
        <v>1773.4300539999999</v>
      </c>
      <c r="C174" s="2">
        <v>41.739997000000002</v>
      </c>
      <c r="D174">
        <v>1.521414226877571E-3</v>
      </c>
    </row>
    <row r="175" spans="1:4" x14ac:dyDescent="0.25">
      <c r="A175" s="1">
        <v>41677</v>
      </c>
      <c r="B175" s="2">
        <v>1797.0200199999999</v>
      </c>
      <c r="C175" s="2">
        <v>42.266008999999997</v>
      </c>
      <c r="D175">
        <v>-6.9977770293205843E-4</v>
      </c>
    </row>
    <row r="176" spans="1:4" x14ac:dyDescent="0.25">
      <c r="A176" s="1">
        <v>41680</v>
      </c>
      <c r="B176" s="2">
        <v>1799.839966</v>
      </c>
      <c r="C176" s="2">
        <v>42.334195999999999</v>
      </c>
      <c r="D176">
        <v>4.404759606324582E-5</v>
      </c>
    </row>
    <row r="177" spans="1:4" x14ac:dyDescent="0.25">
      <c r="A177" s="1">
        <v>41681</v>
      </c>
      <c r="B177" s="2">
        <v>1819.75</v>
      </c>
      <c r="C177" s="2">
        <v>42.762799999999999</v>
      </c>
      <c r="D177">
        <v>-9.3781588338015531E-4</v>
      </c>
    </row>
    <row r="178" spans="1:4" x14ac:dyDescent="0.25">
      <c r="A178" s="1">
        <v>41682</v>
      </c>
      <c r="B178" s="2">
        <v>1819.26001</v>
      </c>
      <c r="C178" s="2">
        <v>42.821244</v>
      </c>
      <c r="D178">
        <v>1.6359641610816933E-3</v>
      </c>
    </row>
    <row r="179" spans="1:4" x14ac:dyDescent="0.25">
      <c r="A179" s="1">
        <v>41683</v>
      </c>
      <c r="B179" s="2">
        <v>1829.829956</v>
      </c>
      <c r="C179" s="2">
        <v>43.103732000000001</v>
      </c>
      <c r="D179">
        <v>7.8688758119160873E-4</v>
      </c>
    </row>
    <row r="180" spans="1:4" x14ac:dyDescent="0.25">
      <c r="A180" s="1">
        <v>41684</v>
      </c>
      <c r="B180" s="2">
        <v>1838.630005</v>
      </c>
      <c r="C180" s="2">
        <v>43.298552000000001</v>
      </c>
      <c r="D180">
        <v>-2.8942256992681159E-4</v>
      </c>
    </row>
    <row r="181" spans="1:4" x14ac:dyDescent="0.25">
      <c r="A181" s="1">
        <v>41688</v>
      </c>
      <c r="B181" s="2">
        <v>1840.76001</v>
      </c>
      <c r="C181" s="2">
        <v>43.464146999999997</v>
      </c>
      <c r="D181">
        <v>2.6660188220342107E-3</v>
      </c>
    </row>
    <row r="182" spans="1:4" x14ac:dyDescent="0.25">
      <c r="A182" s="1">
        <v>41689</v>
      </c>
      <c r="B182" s="2">
        <v>1828.75</v>
      </c>
      <c r="C182" s="2">
        <v>43.269326999999997</v>
      </c>
      <c r="D182">
        <v>2.0421693720020784E-3</v>
      </c>
    </row>
    <row r="183" spans="1:4" x14ac:dyDescent="0.25">
      <c r="A183" s="1">
        <v>41690</v>
      </c>
      <c r="B183" s="2">
        <v>1839.780029</v>
      </c>
      <c r="C183" s="2">
        <v>43.581040999999999</v>
      </c>
      <c r="D183">
        <v>1.1725827673072509E-3</v>
      </c>
    </row>
    <row r="184" spans="1:4" x14ac:dyDescent="0.25">
      <c r="A184" s="1">
        <v>41691</v>
      </c>
      <c r="B184" s="2">
        <v>1836.25</v>
      </c>
      <c r="C184" s="2">
        <v>43.581040999999999</v>
      </c>
      <c r="D184">
        <v>1.9187234040792811E-3</v>
      </c>
    </row>
    <row r="185" spans="1:4" x14ac:dyDescent="0.25">
      <c r="A185" s="1">
        <v>41694</v>
      </c>
      <c r="B185" s="2">
        <v>1847.6099850000001</v>
      </c>
      <c r="C185" s="2">
        <v>43.844042999999999</v>
      </c>
      <c r="D185">
        <v>-1.5173315056649095E-4</v>
      </c>
    </row>
    <row r="186" spans="1:4" x14ac:dyDescent="0.25">
      <c r="A186" s="1">
        <v>41695</v>
      </c>
      <c r="B186" s="2">
        <v>1845.119995</v>
      </c>
      <c r="C186" s="2">
        <v>43.805081999999999</v>
      </c>
      <c r="D186">
        <v>4.5905461951267768E-4</v>
      </c>
    </row>
    <row r="187" spans="1:4" x14ac:dyDescent="0.25">
      <c r="A187" s="1">
        <v>41696</v>
      </c>
      <c r="B187" s="2">
        <v>1845.160034</v>
      </c>
      <c r="C187" s="2">
        <v>43.853785999999999</v>
      </c>
      <c r="D187">
        <v>1.0901345233662596E-3</v>
      </c>
    </row>
    <row r="188" spans="1:4" x14ac:dyDescent="0.25">
      <c r="A188" s="1">
        <v>41697</v>
      </c>
      <c r="B188" s="2">
        <v>1854.290039</v>
      </c>
      <c r="C188" s="2">
        <v>44.038862999999999</v>
      </c>
      <c r="D188">
        <v>-7.2776323291834366E-4</v>
      </c>
    </row>
    <row r="189" spans="1:4" x14ac:dyDescent="0.25">
      <c r="A189" s="1">
        <v>41698</v>
      </c>
      <c r="B189" s="2">
        <v>1859.4499510000001</v>
      </c>
      <c r="C189" s="2">
        <v>44.155757000000001</v>
      </c>
      <c r="D189">
        <v>-1.2835135871447356E-4</v>
      </c>
    </row>
    <row r="190" spans="1:4" x14ac:dyDescent="0.25">
      <c r="A190" s="1">
        <v>41701</v>
      </c>
      <c r="B190" s="2">
        <v>1845.7299800000001</v>
      </c>
      <c r="C190" s="2">
        <v>43.853785999999999</v>
      </c>
      <c r="D190">
        <v>5.3974200810458228E-4</v>
      </c>
    </row>
    <row r="191" spans="1:4" x14ac:dyDescent="0.25">
      <c r="A191" s="1">
        <v>41702</v>
      </c>
      <c r="B191" s="2">
        <v>1873.910034</v>
      </c>
      <c r="C191" s="2">
        <v>44.506428999999997</v>
      </c>
      <c r="D191">
        <v>-3.8545144456780811E-4</v>
      </c>
    </row>
    <row r="192" spans="1:4" x14ac:dyDescent="0.25">
      <c r="A192" s="1">
        <v>41703</v>
      </c>
      <c r="B192" s="2">
        <v>1873.8100589999999</v>
      </c>
      <c r="C192" s="2">
        <v>44.486946000000003</v>
      </c>
      <c r="D192">
        <v>-3.8440596737643329E-4</v>
      </c>
    </row>
    <row r="193" spans="1:4" x14ac:dyDescent="0.25">
      <c r="A193" s="1">
        <v>41704</v>
      </c>
      <c r="B193" s="2">
        <v>1877.030029</v>
      </c>
      <c r="C193" s="2">
        <v>44.574615000000001</v>
      </c>
      <c r="D193">
        <v>2.5226008429912739E-4</v>
      </c>
    </row>
    <row r="194" spans="1:4" x14ac:dyDescent="0.25">
      <c r="A194" s="1">
        <v>41705</v>
      </c>
      <c r="B194" s="2">
        <v>1878.040039</v>
      </c>
      <c r="C194" s="2">
        <v>44.594096999999998</v>
      </c>
      <c r="D194">
        <v>-1.0102451229077047E-4</v>
      </c>
    </row>
    <row r="195" spans="1:4" x14ac:dyDescent="0.25">
      <c r="A195" s="1">
        <v>41708</v>
      </c>
      <c r="B195" s="2">
        <v>1877.170044</v>
      </c>
      <c r="C195" s="2">
        <v>44.486946000000003</v>
      </c>
      <c r="D195">
        <v>-1.9395605638393709E-3</v>
      </c>
    </row>
    <row r="196" spans="1:4" x14ac:dyDescent="0.25">
      <c r="A196" s="1">
        <v>41709</v>
      </c>
      <c r="B196" s="2">
        <v>1867.630005</v>
      </c>
      <c r="C196" s="2">
        <v>44.253165000000003</v>
      </c>
      <c r="D196">
        <v>-1.7290822528470695E-4</v>
      </c>
    </row>
    <row r="197" spans="1:4" x14ac:dyDescent="0.25">
      <c r="A197" s="1">
        <v>41710</v>
      </c>
      <c r="B197" s="2">
        <v>1868.1999510000001</v>
      </c>
      <c r="C197" s="2">
        <v>44.282387</v>
      </c>
      <c r="D197">
        <v>3.5516622633369188E-4</v>
      </c>
    </row>
    <row r="198" spans="1:4" x14ac:dyDescent="0.25">
      <c r="A198" s="1">
        <v>41711</v>
      </c>
      <c r="B198" s="2">
        <v>1846.339966</v>
      </c>
      <c r="C198" s="2">
        <v>43.766117999999999</v>
      </c>
      <c r="D198">
        <v>4.2531912509691239E-5</v>
      </c>
    </row>
    <row r="199" spans="1:4" x14ac:dyDescent="0.25">
      <c r="A199" s="1">
        <v>41712</v>
      </c>
      <c r="B199" s="2">
        <v>1841.130005</v>
      </c>
      <c r="C199" s="2">
        <v>43.766117999999999</v>
      </c>
      <c r="D199">
        <v>2.8217777310465264E-3</v>
      </c>
    </row>
    <row r="200" spans="1:4" x14ac:dyDescent="0.25">
      <c r="A200" s="1">
        <v>41715</v>
      </c>
      <c r="B200" s="2">
        <v>1858.829956</v>
      </c>
      <c r="C200" s="2">
        <v>44.126531999999997</v>
      </c>
      <c r="D200">
        <v>-1.3786341178294581E-3</v>
      </c>
    </row>
    <row r="201" spans="1:4" x14ac:dyDescent="0.25">
      <c r="A201" s="1">
        <v>41716</v>
      </c>
      <c r="B201" s="2">
        <v>1872.25</v>
      </c>
      <c r="C201" s="2">
        <v>44.447985000000003</v>
      </c>
      <c r="D201">
        <v>6.5181936016900366E-5</v>
      </c>
    </row>
    <row r="202" spans="1:4" x14ac:dyDescent="0.25">
      <c r="A202" s="1">
        <v>41717</v>
      </c>
      <c r="B202" s="2">
        <v>1860.7700199999999</v>
      </c>
      <c r="C202" s="2">
        <v>44.194718000000002</v>
      </c>
      <c r="D202">
        <v>4.3359550651833612E-4</v>
      </c>
    </row>
    <row r="203" spans="1:4" x14ac:dyDescent="0.25">
      <c r="A203" s="1">
        <v>41718</v>
      </c>
      <c r="B203" s="2">
        <v>1872.01001</v>
      </c>
      <c r="C203" s="2">
        <v>44.399281000000002</v>
      </c>
      <c r="D203">
        <v>-1.4118293632441326E-3</v>
      </c>
    </row>
    <row r="204" spans="1:4" x14ac:dyDescent="0.25">
      <c r="A204" s="1">
        <v>41719</v>
      </c>
      <c r="B204" s="2">
        <v>1866.5200199999999</v>
      </c>
      <c r="C204" s="2">
        <v>44.321351999999997</v>
      </c>
      <c r="D204">
        <v>1.177485203563422E-3</v>
      </c>
    </row>
    <row r="205" spans="1:4" x14ac:dyDescent="0.25">
      <c r="A205" s="1">
        <v>41722</v>
      </c>
      <c r="B205" s="2">
        <v>1857.4399410000001</v>
      </c>
      <c r="C205" s="2">
        <v>44.029124000000003</v>
      </c>
      <c r="D205">
        <v>-1.7286807128110704E-3</v>
      </c>
    </row>
    <row r="206" spans="1:4" x14ac:dyDescent="0.25">
      <c r="A206" s="1">
        <v>41723</v>
      </c>
      <c r="B206" s="2">
        <v>1865.619995</v>
      </c>
      <c r="C206" s="2">
        <v>44.155757000000001</v>
      </c>
      <c r="D206">
        <v>-1.5278209730915648E-3</v>
      </c>
    </row>
    <row r="207" spans="1:4" x14ac:dyDescent="0.25">
      <c r="A207" s="1">
        <v>41724</v>
      </c>
      <c r="B207" s="2">
        <v>1852.5600589999999</v>
      </c>
      <c r="C207" s="2">
        <v>43.814821999999999</v>
      </c>
      <c r="D207">
        <v>-7.2087075666271705E-4</v>
      </c>
    </row>
    <row r="208" spans="1:4" x14ac:dyDescent="0.25">
      <c r="A208" s="1">
        <v>41725</v>
      </c>
      <c r="B208" s="2">
        <v>1849.040039</v>
      </c>
      <c r="C208" s="2">
        <v>43.756374000000001</v>
      </c>
      <c r="D208">
        <v>5.661063440661751E-4</v>
      </c>
    </row>
    <row r="209" spans="1:4" x14ac:dyDescent="0.25">
      <c r="A209" s="1">
        <v>41726</v>
      </c>
      <c r="B209" s="2">
        <v>1857.619995</v>
      </c>
      <c r="C209" s="2">
        <v>44.038862999999999</v>
      </c>
      <c r="D209">
        <v>1.8157289967271062E-3</v>
      </c>
    </row>
    <row r="210" spans="1:4" x14ac:dyDescent="0.25">
      <c r="A210" s="1">
        <v>41729</v>
      </c>
      <c r="B210" s="2">
        <v>1872.339966</v>
      </c>
      <c r="C210" s="2">
        <v>44.438242000000002</v>
      </c>
      <c r="D210">
        <v>1.1446830824557441E-3</v>
      </c>
    </row>
    <row r="211" spans="1:4" x14ac:dyDescent="0.25">
      <c r="A211" s="1">
        <v>41730</v>
      </c>
      <c r="B211" s="2">
        <v>1885.5200199999999</v>
      </c>
      <c r="C211" s="2">
        <v>44.788916999999998</v>
      </c>
      <c r="D211">
        <v>8.5194001839661304E-4</v>
      </c>
    </row>
    <row r="212" spans="1:4" x14ac:dyDescent="0.25">
      <c r="A212" s="1">
        <v>41731</v>
      </c>
      <c r="B212" s="2">
        <v>1890.900024</v>
      </c>
      <c r="C212" s="2">
        <v>44.964255000000001</v>
      </c>
      <c r="D212">
        <v>1.0614367367505206E-3</v>
      </c>
    </row>
    <row r="213" spans="1:4" x14ac:dyDescent="0.25">
      <c r="A213" s="1">
        <v>41732</v>
      </c>
      <c r="B213" s="2">
        <v>1888.7700199999999</v>
      </c>
      <c r="C213" s="2">
        <v>44.915551000000001</v>
      </c>
      <c r="D213">
        <v>4.3278314056371947E-5</v>
      </c>
    </row>
    <row r="214" spans="1:4" x14ac:dyDescent="0.25">
      <c r="A214" s="1">
        <v>41733</v>
      </c>
      <c r="B214" s="2">
        <v>1865.089966</v>
      </c>
      <c r="C214" s="2">
        <v>44.399281000000002</v>
      </c>
      <c r="D214">
        <v>1.0430508922193438E-3</v>
      </c>
    </row>
    <row r="215" spans="1:4" x14ac:dyDescent="0.25">
      <c r="A215" s="1">
        <v>41736</v>
      </c>
      <c r="B215" s="2">
        <v>1845.040039</v>
      </c>
      <c r="C215" s="2">
        <v>43.814821999999999</v>
      </c>
      <c r="D215">
        <v>-2.4135916369939503E-3</v>
      </c>
    </row>
    <row r="216" spans="1:4" x14ac:dyDescent="0.25">
      <c r="A216" s="1">
        <v>41737</v>
      </c>
      <c r="B216" s="2">
        <v>1851.959961</v>
      </c>
      <c r="C216" s="2">
        <v>44.048605999999999</v>
      </c>
      <c r="D216">
        <v>1.5851747880104572E-3</v>
      </c>
    </row>
    <row r="217" spans="1:4" x14ac:dyDescent="0.25">
      <c r="A217" s="1">
        <v>41738</v>
      </c>
      <c r="B217" s="2">
        <v>1872.1800539999999</v>
      </c>
      <c r="C217" s="2">
        <v>44.467467999999997</v>
      </c>
      <c r="D217">
        <v>-1.4091264320650332E-3</v>
      </c>
    </row>
    <row r="218" spans="1:4" x14ac:dyDescent="0.25">
      <c r="A218" s="1">
        <v>41739</v>
      </c>
      <c r="B218" s="2">
        <v>1833.079956</v>
      </c>
      <c r="C218" s="2">
        <v>43.551814999999998</v>
      </c>
      <c r="D218">
        <v>2.9327025923797656E-4</v>
      </c>
    </row>
    <row r="219" spans="1:4" x14ac:dyDescent="0.25">
      <c r="A219" s="1">
        <v>41740</v>
      </c>
      <c r="B219" s="2">
        <v>1815.6899410000001</v>
      </c>
      <c r="C219" s="2">
        <v>43.064767000000003</v>
      </c>
      <c r="D219">
        <v>-1.6964110482412531E-3</v>
      </c>
    </row>
    <row r="220" spans="1:4" x14ac:dyDescent="0.25">
      <c r="A220" s="1">
        <v>41743</v>
      </c>
      <c r="B220" s="2">
        <v>1830.6099850000001</v>
      </c>
      <c r="C220" s="2">
        <v>43.434925</v>
      </c>
      <c r="D220">
        <v>3.7809288390877605E-4</v>
      </c>
    </row>
    <row r="221" spans="1:4" x14ac:dyDescent="0.25">
      <c r="A221" s="1">
        <v>41744</v>
      </c>
      <c r="B221" s="2">
        <v>1842.9799800000001</v>
      </c>
      <c r="C221" s="2">
        <v>43.70767</v>
      </c>
      <c r="D221">
        <v>-4.7791389995377465E-4</v>
      </c>
    </row>
    <row r="222" spans="1:4" x14ac:dyDescent="0.25">
      <c r="A222" s="1">
        <v>41745</v>
      </c>
      <c r="B222" s="2">
        <v>1862.3100589999999</v>
      </c>
      <c r="C222" s="2">
        <v>44.155757000000001</v>
      </c>
      <c r="D222">
        <v>-2.3658330460518684E-4</v>
      </c>
    </row>
    <row r="223" spans="1:4" x14ac:dyDescent="0.25">
      <c r="A223" s="1">
        <v>41746</v>
      </c>
      <c r="B223" s="2">
        <v>1864.849976</v>
      </c>
      <c r="C223" s="2">
        <v>44.243422000000002</v>
      </c>
      <c r="D223">
        <v>6.2150541690830785E-4</v>
      </c>
    </row>
    <row r="224" spans="1:4" x14ac:dyDescent="0.25">
      <c r="A224" s="1">
        <v>41750</v>
      </c>
      <c r="B224" s="2">
        <v>1871.8900149999999</v>
      </c>
      <c r="C224" s="2">
        <v>44.350572999999997</v>
      </c>
      <c r="D224">
        <v>-1.3532719703053253E-3</v>
      </c>
    </row>
    <row r="225" spans="1:4" x14ac:dyDescent="0.25">
      <c r="A225" s="1">
        <v>41751</v>
      </c>
      <c r="B225" s="2">
        <v>1879.5500489999999</v>
      </c>
      <c r="C225" s="2">
        <v>44.564875999999998</v>
      </c>
      <c r="D225">
        <v>7.398843241863684E-4</v>
      </c>
    </row>
    <row r="226" spans="1:4" x14ac:dyDescent="0.25">
      <c r="A226" s="1">
        <v>41752</v>
      </c>
      <c r="B226" s="2">
        <v>1875.3900149999999</v>
      </c>
      <c r="C226" s="2">
        <v>44.506428999999997</v>
      </c>
      <c r="D226">
        <v>9.0181006212175507E-4</v>
      </c>
    </row>
    <row r="227" spans="1:4" x14ac:dyDescent="0.25">
      <c r="A227" s="1">
        <v>41753</v>
      </c>
      <c r="B227" s="2">
        <v>1878.6099850000001</v>
      </c>
      <c r="C227" s="2">
        <v>44.574615000000001</v>
      </c>
      <c r="D227">
        <v>-1.8491186690439143E-4</v>
      </c>
    </row>
    <row r="228" spans="1:4" x14ac:dyDescent="0.25">
      <c r="A228" s="1">
        <v>41754</v>
      </c>
      <c r="B228" s="2">
        <v>1863.400024</v>
      </c>
      <c r="C228" s="2">
        <v>44.165497000000002</v>
      </c>
      <c r="D228">
        <v>-1.0818823156155677E-3</v>
      </c>
    </row>
    <row r="229" spans="1:4" x14ac:dyDescent="0.25">
      <c r="A229" s="1">
        <v>41757</v>
      </c>
      <c r="B229" s="2">
        <v>1869.4300539999999</v>
      </c>
      <c r="C229" s="2">
        <v>44.175235999999998</v>
      </c>
      <c r="D229">
        <v>-3.0155247359051618E-3</v>
      </c>
    </row>
    <row r="230" spans="1:4" x14ac:dyDescent="0.25">
      <c r="A230" s="1">
        <v>41758</v>
      </c>
      <c r="B230" s="2">
        <v>1878.329956</v>
      </c>
      <c r="C230" s="2">
        <v>44.350572999999997</v>
      </c>
      <c r="D230">
        <v>-7.9163264502257746E-4</v>
      </c>
    </row>
    <row r="231" spans="1:4" x14ac:dyDescent="0.25">
      <c r="A231" s="1">
        <v>41759</v>
      </c>
      <c r="B231" s="2">
        <v>1883.9499510000001</v>
      </c>
      <c r="C231" s="2">
        <v>44.584358000000002</v>
      </c>
      <c r="D231">
        <v>2.279279129070666E-3</v>
      </c>
    </row>
    <row r="232" spans="1:4" x14ac:dyDescent="0.25">
      <c r="A232" s="1">
        <v>41760</v>
      </c>
      <c r="B232" s="2">
        <v>1883.6800539999999</v>
      </c>
      <c r="C232" s="2">
        <v>44.594096999999998</v>
      </c>
      <c r="D232">
        <v>3.6170107614519331E-4</v>
      </c>
    </row>
    <row r="233" spans="1:4" x14ac:dyDescent="0.25">
      <c r="A233" s="1">
        <v>41761</v>
      </c>
      <c r="B233" s="2">
        <v>1881.1400149999999</v>
      </c>
      <c r="C233" s="2">
        <v>44.584358000000002</v>
      </c>
      <c r="D233">
        <v>1.1300528924941267E-3</v>
      </c>
    </row>
    <row r="234" spans="1:4" x14ac:dyDescent="0.25">
      <c r="A234" s="1">
        <v>41764</v>
      </c>
      <c r="B234" s="2">
        <v>1884.660034</v>
      </c>
      <c r="C234" s="2">
        <v>44.633062000000002</v>
      </c>
      <c r="D234">
        <v>-7.7881478217123323E-4</v>
      </c>
    </row>
    <row r="235" spans="1:4" x14ac:dyDescent="0.25">
      <c r="A235" s="1">
        <v>41765</v>
      </c>
      <c r="B235" s="2">
        <v>1867.719971</v>
      </c>
      <c r="C235" s="2">
        <v>44.282387</v>
      </c>
      <c r="D235">
        <v>1.1315480290203794E-3</v>
      </c>
    </row>
    <row r="236" spans="1:4" x14ac:dyDescent="0.25">
      <c r="A236" s="1">
        <v>41766</v>
      </c>
      <c r="B236" s="2">
        <v>1878.209961</v>
      </c>
      <c r="C236" s="2">
        <v>44.545392999999997</v>
      </c>
      <c r="D236">
        <v>3.2282309923137298E-4</v>
      </c>
    </row>
    <row r="237" spans="1:4" x14ac:dyDescent="0.25">
      <c r="A237" s="1">
        <v>41767</v>
      </c>
      <c r="B237" s="2">
        <v>1875.630005</v>
      </c>
      <c r="C237" s="2">
        <v>44.477207</v>
      </c>
      <c r="D237">
        <v>-1.5708332127684077E-4</v>
      </c>
    </row>
    <row r="238" spans="1:4" x14ac:dyDescent="0.25">
      <c r="A238" s="1">
        <v>41768</v>
      </c>
      <c r="B238" s="2">
        <v>1878.4799800000001</v>
      </c>
      <c r="C238" s="2">
        <v>44.535654000000001</v>
      </c>
      <c r="D238">
        <v>-2.0538730906061176E-4</v>
      </c>
    </row>
    <row r="239" spans="1:4" x14ac:dyDescent="0.25">
      <c r="A239" s="1">
        <v>41771</v>
      </c>
      <c r="B239" s="2">
        <v>1896.650024</v>
      </c>
      <c r="C239" s="2">
        <v>45.032440999999999</v>
      </c>
      <c r="D239">
        <v>1.4820777850141909E-3</v>
      </c>
    </row>
    <row r="240" spans="1:4" x14ac:dyDescent="0.25">
      <c r="A240" s="1">
        <v>41772</v>
      </c>
      <c r="B240" s="2">
        <v>1897.4499510000001</v>
      </c>
      <c r="C240" s="2">
        <v>45.012959000000002</v>
      </c>
      <c r="D240">
        <v>-8.5437928256992812E-4</v>
      </c>
    </row>
    <row r="241" spans="1:4" x14ac:dyDescent="0.25">
      <c r="A241" s="1">
        <v>41773</v>
      </c>
      <c r="B241" s="2">
        <v>1888.530029</v>
      </c>
      <c r="C241" s="2">
        <v>44.769435000000001</v>
      </c>
      <c r="D241">
        <v>-7.0908130529800939E-4</v>
      </c>
    </row>
    <row r="242" spans="1:4" x14ac:dyDescent="0.25">
      <c r="A242" s="1">
        <v>41774</v>
      </c>
      <c r="B242" s="2">
        <v>1870.849976</v>
      </c>
      <c r="C242" s="2">
        <v>44.360315999999997</v>
      </c>
      <c r="D242">
        <v>2.2345143899837883E-4</v>
      </c>
    </row>
    <row r="243" spans="1:4" x14ac:dyDescent="0.25">
      <c r="A243" s="1">
        <v>41775</v>
      </c>
      <c r="B243" s="2">
        <v>1877.8599850000001</v>
      </c>
      <c r="C243" s="2">
        <v>44.545392999999997</v>
      </c>
      <c r="D243">
        <v>4.2516508622281179E-4</v>
      </c>
    </row>
    <row r="244" spans="1:4" x14ac:dyDescent="0.25">
      <c r="A244" s="1">
        <v>41778</v>
      </c>
      <c r="B244" s="2">
        <v>1885.079956</v>
      </c>
      <c r="C244" s="2">
        <v>44.720731000000001</v>
      </c>
      <c r="D244">
        <v>9.1377972484929515E-5</v>
      </c>
    </row>
    <row r="245" spans="1:4" x14ac:dyDescent="0.25">
      <c r="A245" s="1">
        <v>41779</v>
      </c>
      <c r="B245" s="2">
        <v>1872.829956</v>
      </c>
      <c r="C245" s="2">
        <v>44.350572999999997</v>
      </c>
      <c r="D245">
        <v>-1.7787027395373967E-3</v>
      </c>
    </row>
    <row r="246" spans="1:4" x14ac:dyDescent="0.25">
      <c r="A246" s="1">
        <v>41780</v>
      </c>
      <c r="B246" s="2">
        <v>1888.030029</v>
      </c>
      <c r="C246" s="2">
        <v>44.652543999999999</v>
      </c>
      <c r="D246">
        <v>-1.3073705561250648E-3</v>
      </c>
    </row>
    <row r="247" spans="1:4" x14ac:dyDescent="0.25">
      <c r="A247" s="1">
        <v>41781</v>
      </c>
      <c r="B247" s="2">
        <v>1892.48999</v>
      </c>
      <c r="C247" s="2">
        <v>44.779178000000002</v>
      </c>
      <c r="D247">
        <v>4.7375632472945739E-4</v>
      </c>
    </row>
    <row r="248" spans="1:4" x14ac:dyDescent="0.25">
      <c r="A248" s="1">
        <v>41782</v>
      </c>
      <c r="B248" s="2">
        <v>1900.530029</v>
      </c>
      <c r="C248" s="2">
        <v>45.003219000000001</v>
      </c>
      <c r="D248">
        <v>7.5484874491471565E-4</v>
      </c>
    </row>
    <row r="249" spans="1:4" x14ac:dyDescent="0.25">
      <c r="A249" s="1">
        <v>41786</v>
      </c>
      <c r="B249" s="2">
        <v>1911.910034</v>
      </c>
      <c r="C249" s="2">
        <v>45.275964999999999</v>
      </c>
      <c r="D249">
        <v>7.2782746424637779E-5</v>
      </c>
    </row>
    <row r="250" spans="1:4" x14ac:dyDescent="0.25">
      <c r="A250" s="1">
        <v>41787</v>
      </c>
      <c r="B250" s="2">
        <v>1909.780029</v>
      </c>
      <c r="C250" s="2">
        <v>45.256483000000003</v>
      </c>
      <c r="D250">
        <v>6.837772440367873E-4</v>
      </c>
    </row>
    <row r="251" spans="1:4" x14ac:dyDescent="0.25">
      <c r="A251" s="1">
        <v>41788</v>
      </c>
      <c r="B251" s="2">
        <v>1920.030029</v>
      </c>
      <c r="C251" s="2">
        <v>45.490267000000003</v>
      </c>
      <c r="D251">
        <v>-2.0135313045521741E-4</v>
      </c>
    </row>
    <row r="252" spans="1:4" x14ac:dyDescent="0.25">
      <c r="A252" s="1">
        <v>41789</v>
      </c>
      <c r="B252" s="2">
        <v>1923.5699460000001</v>
      </c>
      <c r="C252" s="2">
        <v>45.558453999999998</v>
      </c>
      <c r="D252">
        <v>-3.4474191036837354E-4</v>
      </c>
    </row>
    <row r="253" spans="1:4" x14ac:dyDescent="0.25">
      <c r="A253" s="1">
        <v>41792</v>
      </c>
      <c r="B253" s="2">
        <v>1924.969971</v>
      </c>
      <c r="C253" s="2">
        <v>45.636378999999998</v>
      </c>
      <c r="D253">
        <v>9.8261354904183307E-4</v>
      </c>
    </row>
    <row r="254" spans="1:4" x14ac:dyDescent="0.25">
      <c r="A254" s="1">
        <v>41793</v>
      </c>
      <c r="B254" s="2">
        <v>1924.23999</v>
      </c>
      <c r="C254" s="2">
        <v>45.636378999999998</v>
      </c>
      <c r="D254">
        <v>3.7921682467634277E-4</v>
      </c>
    </row>
    <row r="255" spans="1:4" x14ac:dyDescent="0.25">
      <c r="A255" s="1">
        <v>41794</v>
      </c>
      <c r="B255" s="2">
        <v>1927.880005</v>
      </c>
      <c r="C255" s="2">
        <v>45.772756000000001</v>
      </c>
      <c r="D255">
        <v>1.0966758998038895E-3</v>
      </c>
    </row>
    <row r="256" spans="1:4" x14ac:dyDescent="0.25">
      <c r="A256" s="1">
        <v>41795</v>
      </c>
      <c r="B256" s="2">
        <v>1940.459961</v>
      </c>
      <c r="C256" s="2">
        <v>46.084465999999999</v>
      </c>
      <c r="D256">
        <v>2.8466650880565325E-4</v>
      </c>
    </row>
    <row r="257" spans="1:4" x14ac:dyDescent="0.25">
      <c r="A257" s="1">
        <v>41796</v>
      </c>
      <c r="B257" s="2">
        <v>1949.4399410000001</v>
      </c>
      <c r="C257" s="2">
        <v>46.347472000000003</v>
      </c>
      <c r="D257">
        <v>1.0792839090971729E-3</v>
      </c>
    </row>
    <row r="258" spans="1:4" x14ac:dyDescent="0.25">
      <c r="A258" s="1">
        <v>41799</v>
      </c>
      <c r="B258" s="2">
        <v>1951.2700199999999</v>
      </c>
      <c r="C258" s="2">
        <v>46.386432999999997</v>
      </c>
      <c r="D258">
        <v>-9.8143302223352435E-5</v>
      </c>
    </row>
    <row r="259" spans="1:4" x14ac:dyDescent="0.25">
      <c r="A259" s="1">
        <v>41800</v>
      </c>
      <c r="B259" s="2">
        <v>1950.790039</v>
      </c>
      <c r="C259" s="2">
        <v>46.298765000000003</v>
      </c>
      <c r="D259">
        <v>-1.6439652630489965E-3</v>
      </c>
    </row>
    <row r="260" spans="1:4" x14ac:dyDescent="0.25">
      <c r="A260" s="1">
        <v>41801</v>
      </c>
      <c r="B260" s="2">
        <v>1943.8900149999999</v>
      </c>
      <c r="C260" s="2">
        <v>46.13317</v>
      </c>
      <c r="D260">
        <v>-3.9620457700006995E-5</v>
      </c>
    </row>
    <row r="261" spans="1:4" x14ac:dyDescent="0.25">
      <c r="A261" s="1">
        <v>41802</v>
      </c>
      <c r="B261" s="2">
        <v>1930.1099850000001</v>
      </c>
      <c r="C261" s="2">
        <v>45.860424999999999</v>
      </c>
      <c r="D261">
        <v>1.1767703313858568E-3</v>
      </c>
    </row>
    <row r="262" spans="1:4" x14ac:dyDescent="0.25">
      <c r="A262" s="1">
        <v>41803</v>
      </c>
      <c r="B262" s="2">
        <v>1936.160034</v>
      </c>
      <c r="C262" s="2">
        <v>46.035758000000001</v>
      </c>
      <c r="D262">
        <v>6.8862563630966989E-4</v>
      </c>
    </row>
    <row r="263" spans="1:4" x14ac:dyDescent="0.25">
      <c r="A263" s="1">
        <v>41806</v>
      </c>
      <c r="B263" s="2">
        <v>1937.780029</v>
      </c>
      <c r="C263" s="2">
        <v>46.113688000000003</v>
      </c>
      <c r="D263">
        <v>8.5610941610592128E-4</v>
      </c>
    </row>
    <row r="264" spans="1:4" x14ac:dyDescent="0.25">
      <c r="A264" s="1">
        <v>41807</v>
      </c>
      <c r="B264" s="2">
        <v>1941.98999</v>
      </c>
      <c r="C264" s="2">
        <v>46.308508000000003</v>
      </c>
      <c r="D264">
        <v>2.0522068564079454E-3</v>
      </c>
    </row>
    <row r="265" spans="1:4" x14ac:dyDescent="0.25">
      <c r="A265" s="1">
        <v>41808</v>
      </c>
      <c r="B265" s="2">
        <v>1956.9799800000001</v>
      </c>
      <c r="C265" s="2">
        <v>46.659182999999999</v>
      </c>
      <c r="D265">
        <v>-1.4629862874082633E-4</v>
      </c>
    </row>
    <row r="266" spans="1:4" x14ac:dyDescent="0.25">
      <c r="A266" s="1">
        <v>41809</v>
      </c>
      <c r="B266" s="2">
        <v>1959.4799800000001</v>
      </c>
      <c r="C266" s="2">
        <v>46.727369000000003</v>
      </c>
      <c r="D266">
        <v>1.8388434488447736E-4</v>
      </c>
    </row>
    <row r="267" spans="1:4" x14ac:dyDescent="0.25">
      <c r="A267" s="1">
        <v>41810</v>
      </c>
      <c r="B267" s="2">
        <v>1962.869995</v>
      </c>
      <c r="C267" s="2">
        <v>46.863742000000002</v>
      </c>
      <c r="D267">
        <v>1.1884238113035739E-3</v>
      </c>
    </row>
    <row r="268" spans="1:4" x14ac:dyDescent="0.25">
      <c r="A268" s="1">
        <v>41813</v>
      </c>
      <c r="B268" s="2">
        <v>1962.6099850000001</v>
      </c>
      <c r="C268" s="2">
        <v>46.824776999999997</v>
      </c>
      <c r="D268">
        <v>-6.989888257903365E-4</v>
      </c>
    </row>
    <row r="269" spans="1:4" x14ac:dyDescent="0.25">
      <c r="A269" s="1">
        <v>41814</v>
      </c>
      <c r="B269" s="2">
        <v>1949.9799800000001</v>
      </c>
      <c r="C269" s="2">
        <v>46.532549000000003</v>
      </c>
      <c r="D269">
        <v>1.9442671525882194E-4</v>
      </c>
    </row>
    <row r="270" spans="1:4" x14ac:dyDescent="0.25">
      <c r="A270" s="1">
        <v>41815</v>
      </c>
      <c r="B270" s="2">
        <v>1959.530029</v>
      </c>
      <c r="C270" s="2">
        <v>46.727369000000003</v>
      </c>
      <c r="D270">
        <v>-7.1076452011542557E-4</v>
      </c>
    </row>
    <row r="271" spans="1:4" x14ac:dyDescent="0.25">
      <c r="A271" s="1">
        <v>41816</v>
      </c>
      <c r="B271" s="2">
        <v>1957.219971</v>
      </c>
      <c r="C271" s="2">
        <v>46.707886999999999</v>
      </c>
      <c r="D271">
        <v>7.6195459237782259E-4</v>
      </c>
    </row>
    <row r="272" spans="1:4" x14ac:dyDescent="0.25">
      <c r="A272" s="1">
        <v>41817</v>
      </c>
      <c r="B272" s="2">
        <v>1960.959961</v>
      </c>
      <c r="C272" s="2">
        <v>46.815038000000001</v>
      </c>
      <c r="D272">
        <v>3.8319801953767829E-4</v>
      </c>
    </row>
    <row r="273" spans="1:4" x14ac:dyDescent="0.25">
      <c r="A273" s="1">
        <v>41820</v>
      </c>
      <c r="B273" s="2">
        <v>1960.2299800000001</v>
      </c>
      <c r="C273" s="2">
        <v>46.863742000000002</v>
      </c>
      <c r="D273">
        <v>1.4126064337925959E-3</v>
      </c>
    </row>
    <row r="274" spans="1:4" x14ac:dyDescent="0.25">
      <c r="A274" s="1">
        <v>41821</v>
      </c>
      <c r="B274" s="2">
        <v>1973.3199460000001</v>
      </c>
      <c r="C274" s="2">
        <v>47.126747999999999</v>
      </c>
      <c r="D274">
        <v>-1.0656279951617442E-3</v>
      </c>
    </row>
    <row r="275" spans="1:4" x14ac:dyDescent="0.25">
      <c r="A275" s="1">
        <v>41822</v>
      </c>
      <c r="B275" s="2">
        <v>1974.619995</v>
      </c>
      <c r="C275" s="2">
        <v>47.078043999999998</v>
      </c>
      <c r="D275">
        <v>-1.6922813813604609E-3</v>
      </c>
    </row>
    <row r="276" spans="1:4" x14ac:dyDescent="0.25">
      <c r="A276" s="1">
        <v>41823</v>
      </c>
      <c r="B276" s="2">
        <v>1985.4399410000001</v>
      </c>
      <c r="C276" s="2">
        <v>47.341047000000003</v>
      </c>
      <c r="D276">
        <v>1.0702404496054641E-4</v>
      </c>
    </row>
    <row r="277" spans="1:4" x14ac:dyDescent="0.25">
      <c r="A277" s="1">
        <v>41827</v>
      </c>
      <c r="B277" s="2">
        <v>1977.650024</v>
      </c>
      <c r="C277" s="2">
        <v>47.068300999999998</v>
      </c>
      <c r="D277">
        <v>-1.8377786926460082E-3</v>
      </c>
    </row>
    <row r="278" spans="1:4" x14ac:dyDescent="0.25">
      <c r="A278" s="1">
        <v>41828</v>
      </c>
      <c r="B278" s="2">
        <v>1963.709961</v>
      </c>
      <c r="C278" s="2">
        <v>46.785812999999997</v>
      </c>
      <c r="D278">
        <v>1.0471404873299006E-3</v>
      </c>
    </row>
    <row r="279" spans="1:4" x14ac:dyDescent="0.25">
      <c r="A279" s="1">
        <v>41829</v>
      </c>
      <c r="B279" s="2">
        <v>1972.829956</v>
      </c>
      <c r="C279" s="2">
        <v>46.990375</v>
      </c>
      <c r="D279">
        <v>-2.7195949832981015E-4</v>
      </c>
    </row>
    <row r="280" spans="1:4" x14ac:dyDescent="0.25">
      <c r="A280" s="1">
        <v>41830</v>
      </c>
      <c r="B280" s="2">
        <v>1964.6800539999999</v>
      </c>
      <c r="C280" s="2">
        <v>46.766330000000004</v>
      </c>
      <c r="D280">
        <v>-6.3681959696071377E-4</v>
      </c>
    </row>
    <row r="281" spans="1:4" x14ac:dyDescent="0.25">
      <c r="A281" s="1">
        <v>41831</v>
      </c>
      <c r="B281" s="2">
        <v>1967.5699460000001</v>
      </c>
      <c r="C281" s="2">
        <v>46.795555999999998</v>
      </c>
      <c r="D281">
        <v>-8.4598566397908748E-4</v>
      </c>
    </row>
    <row r="282" spans="1:4" x14ac:dyDescent="0.25">
      <c r="A282" s="1">
        <v>41834</v>
      </c>
      <c r="B282" s="2">
        <v>1977.099976</v>
      </c>
      <c r="C282" s="2">
        <v>46.941668</v>
      </c>
      <c r="D282">
        <v>-1.7212055766628875E-3</v>
      </c>
    </row>
    <row r="283" spans="1:4" x14ac:dyDescent="0.25">
      <c r="A283" s="1">
        <v>41835</v>
      </c>
      <c r="B283" s="2">
        <v>1973.280029</v>
      </c>
      <c r="C283" s="2">
        <v>46.824776999999997</v>
      </c>
      <c r="D283">
        <v>-5.5803705059875863E-4</v>
      </c>
    </row>
    <row r="284" spans="1:4" x14ac:dyDescent="0.25">
      <c r="A284" s="1">
        <v>41836</v>
      </c>
      <c r="B284" s="2">
        <v>1981.5699460000001</v>
      </c>
      <c r="C284" s="2">
        <v>46.990375</v>
      </c>
      <c r="D284">
        <v>-6.645384596970505E-4</v>
      </c>
    </row>
    <row r="285" spans="1:4" x14ac:dyDescent="0.25">
      <c r="A285" s="1">
        <v>41837</v>
      </c>
      <c r="B285" s="2">
        <v>1958.119995</v>
      </c>
      <c r="C285" s="2">
        <v>46.425398000000001</v>
      </c>
      <c r="D285">
        <v>-1.8922306949820111E-4</v>
      </c>
    </row>
    <row r="286" spans="1:4" x14ac:dyDescent="0.25">
      <c r="A286" s="1">
        <v>41838</v>
      </c>
      <c r="B286" s="2">
        <v>1978.219971</v>
      </c>
      <c r="C286" s="2">
        <v>46.892963999999999</v>
      </c>
      <c r="D286">
        <v>-1.9359508933880498E-4</v>
      </c>
    </row>
    <row r="287" spans="1:4" x14ac:dyDescent="0.25">
      <c r="A287" s="1">
        <v>41841</v>
      </c>
      <c r="B287" s="2">
        <v>1973.630005</v>
      </c>
      <c r="C287" s="2">
        <v>46.776072999999997</v>
      </c>
      <c r="D287">
        <v>-1.7246881456778329E-4</v>
      </c>
    </row>
    <row r="288" spans="1:4" x14ac:dyDescent="0.25">
      <c r="A288" s="1">
        <v>41842</v>
      </c>
      <c r="B288" s="2">
        <v>1983.530029</v>
      </c>
      <c r="C288" s="2">
        <v>47.000115000000001</v>
      </c>
      <c r="D288">
        <v>-2.2647893152116794E-4</v>
      </c>
    </row>
    <row r="289" spans="1:4" x14ac:dyDescent="0.25">
      <c r="A289" s="1">
        <v>41843</v>
      </c>
      <c r="B289" s="2">
        <v>1987.01001</v>
      </c>
      <c r="C289" s="2">
        <v>47.019596999999997</v>
      </c>
      <c r="D289">
        <v>-1.3399286496726948E-3</v>
      </c>
    </row>
    <row r="290" spans="1:4" x14ac:dyDescent="0.25">
      <c r="A290" s="1">
        <v>41844</v>
      </c>
      <c r="B290" s="2">
        <v>1987.9799800000001</v>
      </c>
      <c r="C290" s="2">
        <v>47.107266000000003</v>
      </c>
      <c r="D290">
        <v>1.3763648786824234E-3</v>
      </c>
    </row>
    <row r="291" spans="1:4" x14ac:dyDescent="0.25">
      <c r="A291" s="1">
        <v>41845</v>
      </c>
      <c r="B291" s="2">
        <v>1978.339966</v>
      </c>
      <c r="C291" s="2">
        <v>46.902706999999999</v>
      </c>
      <c r="D291">
        <v>5.0674177898624162E-4</v>
      </c>
    </row>
    <row r="292" spans="1:4" x14ac:dyDescent="0.25">
      <c r="A292" s="1">
        <v>41848</v>
      </c>
      <c r="B292" s="2">
        <v>1978.910034</v>
      </c>
      <c r="C292" s="2">
        <v>46.912446000000003</v>
      </c>
      <c r="D292">
        <v>-8.0512121129805436E-5</v>
      </c>
    </row>
    <row r="293" spans="1:4" x14ac:dyDescent="0.25">
      <c r="A293" s="1">
        <v>41849</v>
      </c>
      <c r="B293" s="2">
        <v>1969.9499510000001</v>
      </c>
      <c r="C293" s="2">
        <v>46.688403999999998</v>
      </c>
      <c r="D293">
        <v>-2.4796063400123192E-4</v>
      </c>
    </row>
    <row r="294" spans="1:4" x14ac:dyDescent="0.25">
      <c r="A294" s="1">
        <v>41850</v>
      </c>
      <c r="B294" s="2">
        <v>1970.0699460000001</v>
      </c>
      <c r="C294" s="2">
        <v>46.668922000000002</v>
      </c>
      <c r="D294">
        <v>-4.7818977595215362E-4</v>
      </c>
    </row>
    <row r="295" spans="1:4" x14ac:dyDescent="0.25">
      <c r="A295" s="1">
        <v>41851</v>
      </c>
      <c r="B295" s="2">
        <v>1930.670044</v>
      </c>
      <c r="C295" s="2">
        <v>45.782494999999997</v>
      </c>
      <c r="D295">
        <v>1.0052938336880812E-3</v>
      </c>
    </row>
    <row r="296" spans="1:4" x14ac:dyDescent="0.25">
      <c r="A296" s="1">
        <v>41852</v>
      </c>
      <c r="B296" s="2">
        <v>1925.150024</v>
      </c>
      <c r="C296" s="2">
        <v>45.685087000000003</v>
      </c>
      <c r="D296">
        <v>7.3149596307009457E-4</v>
      </c>
    </row>
    <row r="297" spans="1:4" x14ac:dyDescent="0.25">
      <c r="A297" s="1">
        <v>41855</v>
      </c>
      <c r="B297" s="2">
        <v>1938.98999</v>
      </c>
      <c r="C297" s="2">
        <v>46.006537000000002</v>
      </c>
      <c r="D297">
        <v>-1.5281952017875966E-4</v>
      </c>
    </row>
    <row r="298" spans="1:4" x14ac:dyDescent="0.25">
      <c r="A298" s="1">
        <v>41856</v>
      </c>
      <c r="B298" s="2">
        <v>1920.209961</v>
      </c>
      <c r="C298" s="2">
        <v>45.616900999999999</v>
      </c>
      <c r="D298">
        <v>1.216325517784389E-3</v>
      </c>
    </row>
    <row r="299" spans="1:4" x14ac:dyDescent="0.25">
      <c r="A299" s="1">
        <v>41857</v>
      </c>
      <c r="B299" s="2">
        <v>1920.23999</v>
      </c>
      <c r="C299" s="2">
        <v>45.607157999999998</v>
      </c>
      <c r="D299">
        <v>-2.2922151315141193E-4</v>
      </c>
    </row>
    <row r="300" spans="1:4" x14ac:dyDescent="0.25">
      <c r="A300" s="1">
        <v>41858</v>
      </c>
      <c r="B300" s="2">
        <v>1909.5699460000001</v>
      </c>
      <c r="C300" s="2">
        <v>45.344150999999997</v>
      </c>
      <c r="D300">
        <v>-2.1017209904417022E-4</v>
      </c>
    </row>
    <row r="301" spans="1:4" x14ac:dyDescent="0.25">
      <c r="A301" s="1">
        <v>41859</v>
      </c>
      <c r="B301" s="2">
        <v>1931.589966</v>
      </c>
      <c r="C301" s="2">
        <v>45.93835</v>
      </c>
      <c r="D301">
        <v>1.5728012080082898E-3</v>
      </c>
    </row>
    <row r="302" spans="1:4" x14ac:dyDescent="0.25">
      <c r="A302" s="1">
        <v>41862</v>
      </c>
      <c r="B302" s="2">
        <v>1936.920044</v>
      </c>
      <c r="C302" s="2">
        <v>46.084465999999999</v>
      </c>
      <c r="D302">
        <v>4.2127242348466432E-4</v>
      </c>
    </row>
    <row r="303" spans="1:4" x14ac:dyDescent="0.25">
      <c r="A303" s="1">
        <v>41863</v>
      </c>
      <c r="B303" s="2">
        <v>1933.75</v>
      </c>
      <c r="C303" s="2">
        <v>45.987054000000001</v>
      </c>
      <c r="D303">
        <v>-4.7712918978914942E-4</v>
      </c>
    </row>
    <row r="304" spans="1:4" x14ac:dyDescent="0.25">
      <c r="A304" s="1">
        <v>41864</v>
      </c>
      <c r="B304" s="2">
        <v>1946.719971</v>
      </c>
      <c r="C304" s="2">
        <v>46.259804000000003</v>
      </c>
      <c r="D304">
        <v>-7.7614316042251552E-4</v>
      </c>
    </row>
    <row r="305" spans="1:4" x14ac:dyDescent="0.25">
      <c r="A305" s="1">
        <v>41865</v>
      </c>
      <c r="B305" s="2">
        <v>1955.1800539999999</v>
      </c>
      <c r="C305" s="2">
        <v>46.493585000000003</v>
      </c>
      <c r="D305">
        <v>7.0783900985671444E-4</v>
      </c>
    </row>
    <row r="306" spans="1:4" x14ac:dyDescent="0.25">
      <c r="A306" s="1">
        <v>41866</v>
      </c>
      <c r="B306" s="2">
        <v>1955.0600589999999</v>
      </c>
      <c r="C306" s="2">
        <v>46.483845000000002</v>
      </c>
      <c r="D306">
        <v>-1.4811840214545846E-4</v>
      </c>
    </row>
    <row r="307" spans="1:4" x14ac:dyDescent="0.25">
      <c r="A307" s="1">
        <v>41869</v>
      </c>
      <c r="B307" s="2">
        <v>1971.73999</v>
      </c>
      <c r="C307" s="2">
        <v>46.892963999999999</v>
      </c>
      <c r="D307">
        <v>2.6964389570283132E-4</v>
      </c>
    </row>
    <row r="308" spans="1:4" x14ac:dyDescent="0.25">
      <c r="A308" s="1">
        <v>41870</v>
      </c>
      <c r="B308" s="2">
        <v>1981.599976</v>
      </c>
      <c r="C308" s="2">
        <v>47.136488</v>
      </c>
      <c r="D308">
        <v>1.9253622949166882E-4</v>
      </c>
    </row>
    <row r="309" spans="1:4" x14ac:dyDescent="0.25">
      <c r="A309" s="1">
        <v>41871</v>
      </c>
      <c r="B309" s="2">
        <v>1986.51001</v>
      </c>
      <c r="C309" s="2">
        <v>47.302086000000003</v>
      </c>
      <c r="D309">
        <v>1.0353465784855853E-3</v>
      </c>
    </row>
    <row r="310" spans="1:4" x14ac:dyDescent="0.25">
      <c r="A310" s="1">
        <v>41872</v>
      </c>
      <c r="B310" s="2">
        <v>1992.369995</v>
      </c>
      <c r="C310" s="2">
        <v>47.389754000000003</v>
      </c>
      <c r="D310">
        <v>-1.096525137175508E-3</v>
      </c>
    </row>
    <row r="311" spans="1:4" x14ac:dyDescent="0.25">
      <c r="A311" s="1">
        <v>41873</v>
      </c>
      <c r="B311" s="2">
        <v>1988.400024</v>
      </c>
      <c r="C311" s="2">
        <v>47.321567999999999</v>
      </c>
      <c r="D311">
        <v>5.5375299960269686E-4</v>
      </c>
    </row>
    <row r="312" spans="1:4" x14ac:dyDescent="0.25">
      <c r="A312" s="1">
        <v>41876</v>
      </c>
      <c r="B312" s="2">
        <v>1997.920044</v>
      </c>
      <c r="C312" s="2">
        <v>47.526127000000002</v>
      </c>
      <c r="D312">
        <v>-4.6503557128252382E-4</v>
      </c>
    </row>
    <row r="313" spans="1:4" x14ac:dyDescent="0.25">
      <c r="A313" s="1">
        <v>41877</v>
      </c>
      <c r="B313" s="2">
        <v>2000.0200199999999</v>
      </c>
      <c r="C313" s="2">
        <v>47.565092</v>
      </c>
      <c r="D313">
        <v>-2.3121627192446148E-4</v>
      </c>
    </row>
    <row r="314" spans="1:4" x14ac:dyDescent="0.25">
      <c r="A314" s="1">
        <v>41878</v>
      </c>
      <c r="B314" s="2">
        <v>2000.119995</v>
      </c>
      <c r="C314" s="2">
        <v>47.565092</v>
      </c>
      <c r="D314">
        <v>-4.9986999630213802E-5</v>
      </c>
    </row>
    <row r="315" spans="1:4" x14ac:dyDescent="0.25">
      <c r="A315" s="1">
        <v>41879</v>
      </c>
      <c r="B315" s="2">
        <v>1996.73999</v>
      </c>
      <c r="C315" s="2">
        <v>47.535867000000003</v>
      </c>
      <c r="D315">
        <v>1.0754799291794459E-3</v>
      </c>
    </row>
    <row r="316" spans="1:4" x14ac:dyDescent="0.25">
      <c r="A316" s="1">
        <v>41880</v>
      </c>
      <c r="B316" s="2">
        <v>2003.369995</v>
      </c>
      <c r="C316" s="2">
        <v>47.720947000000002</v>
      </c>
      <c r="D316">
        <v>5.7306631282671994E-4</v>
      </c>
    </row>
    <row r="317" spans="1:4" x14ac:dyDescent="0.25">
      <c r="A317" s="1">
        <v>41884</v>
      </c>
      <c r="B317" s="2">
        <v>2002.280029</v>
      </c>
      <c r="C317" s="2">
        <v>47.701464999999999</v>
      </c>
      <c r="D317">
        <v>1.3581785516159073E-4</v>
      </c>
    </row>
    <row r="318" spans="1:4" x14ac:dyDescent="0.25">
      <c r="A318" s="1">
        <v>41885</v>
      </c>
      <c r="B318" s="2">
        <v>2000.719971</v>
      </c>
      <c r="C318" s="2">
        <v>47.711204000000002</v>
      </c>
      <c r="D318">
        <v>9.8330640548760506E-4</v>
      </c>
    </row>
    <row r="319" spans="1:4" x14ac:dyDescent="0.25">
      <c r="A319" s="1">
        <v>41886</v>
      </c>
      <c r="B319" s="2">
        <v>1997.650024</v>
      </c>
      <c r="C319" s="2">
        <v>47.643017999999998</v>
      </c>
      <c r="D319">
        <v>1.0528092281991697E-4</v>
      </c>
    </row>
    <row r="320" spans="1:4" x14ac:dyDescent="0.25">
      <c r="A320" s="1">
        <v>41887</v>
      </c>
      <c r="B320" s="2">
        <v>2007.709961</v>
      </c>
      <c r="C320" s="2">
        <v>47.876801999999998</v>
      </c>
      <c r="D320">
        <v>-1.2889167794449818E-4</v>
      </c>
    </row>
    <row r="321" spans="1:4" x14ac:dyDescent="0.25">
      <c r="A321" s="1">
        <v>41890</v>
      </c>
      <c r="B321" s="2">
        <v>2001.540039</v>
      </c>
      <c r="C321" s="2">
        <v>47.720947000000002</v>
      </c>
      <c r="D321">
        <v>-1.8222018462676903E-4</v>
      </c>
    </row>
    <row r="322" spans="1:4" x14ac:dyDescent="0.25">
      <c r="A322" s="1">
        <v>41891</v>
      </c>
      <c r="B322" s="2">
        <v>1988.4399410000001</v>
      </c>
      <c r="C322" s="2">
        <v>47.380011000000003</v>
      </c>
      <c r="D322">
        <v>-5.9935864481652779E-4</v>
      </c>
    </row>
    <row r="323" spans="1:4" x14ac:dyDescent="0.25">
      <c r="A323" s="1">
        <v>41892</v>
      </c>
      <c r="B323" s="2">
        <v>1995.6899410000001</v>
      </c>
      <c r="C323" s="2">
        <v>47.477423000000002</v>
      </c>
      <c r="D323">
        <v>-1.5901019106376868E-3</v>
      </c>
    </row>
    <row r="324" spans="1:4" x14ac:dyDescent="0.25">
      <c r="A324" s="1">
        <v>41893</v>
      </c>
      <c r="B324" s="2">
        <v>1997.4499510000001</v>
      </c>
      <c r="C324" s="2">
        <v>47.565092</v>
      </c>
      <c r="D324">
        <v>9.6463529603063591E-4</v>
      </c>
    </row>
    <row r="325" spans="1:4" x14ac:dyDescent="0.25">
      <c r="A325" s="1">
        <v>41894</v>
      </c>
      <c r="B325" s="2">
        <v>1985.540039</v>
      </c>
      <c r="C325" s="2">
        <v>47.224156000000001</v>
      </c>
      <c r="D325">
        <v>-1.2052191713534111E-3</v>
      </c>
    </row>
    <row r="326" spans="1:4" x14ac:dyDescent="0.25">
      <c r="A326" s="1">
        <v>41897</v>
      </c>
      <c r="B326" s="2">
        <v>1984.130005</v>
      </c>
      <c r="C326" s="2">
        <v>47.136488</v>
      </c>
      <c r="D326">
        <v>-1.1462714212896463E-3</v>
      </c>
    </row>
    <row r="327" spans="1:4" x14ac:dyDescent="0.25">
      <c r="A327" s="1">
        <v>41898</v>
      </c>
      <c r="B327" s="2">
        <v>1998.9799800000001</v>
      </c>
      <c r="C327" s="2">
        <v>47.457940999999998</v>
      </c>
      <c r="D327">
        <v>-6.6475465337778594E-4</v>
      </c>
    </row>
    <row r="328" spans="1:4" x14ac:dyDescent="0.25">
      <c r="A328" s="1">
        <v>41899</v>
      </c>
      <c r="B328" s="2">
        <v>2001.5699460000001</v>
      </c>
      <c r="C328" s="2">
        <v>47.487163000000002</v>
      </c>
      <c r="D328">
        <v>-6.7989857807049248E-4</v>
      </c>
    </row>
    <row r="329" spans="1:4" x14ac:dyDescent="0.25">
      <c r="A329" s="1">
        <v>41900</v>
      </c>
      <c r="B329" s="2">
        <v>2011.3599850000001</v>
      </c>
      <c r="C329" s="2">
        <v>47.662500000000001</v>
      </c>
      <c r="D329">
        <v>-1.1988769379260855E-3</v>
      </c>
    </row>
    <row r="330" spans="1:4" x14ac:dyDescent="0.25">
      <c r="A330" s="1">
        <v>41901</v>
      </c>
      <c r="B330" s="2">
        <v>2010.400024</v>
      </c>
      <c r="C330" s="2">
        <v>47.565092</v>
      </c>
      <c r="D330">
        <v>-1.5664335087198777E-3</v>
      </c>
    </row>
    <row r="331" spans="1:4" x14ac:dyDescent="0.25">
      <c r="A331" s="1">
        <v>41904</v>
      </c>
      <c r="B331" s="2">
        <v>1994.290039</v>
      </c>
      <c r="C331" s="2">
        <v>47.117004999999999</v>
      </c>
      <c r="D331">
        <v>-1.4071779447070165E-3</v>
      </c>
    </row>
    <row r="332" spans="1:4" x14ac:dyDescent="0.25">
      <c r="A332" s="1">
        <v>41905</v>
      </c>
      <c r="B332" s="2">
        <v>1982.7700199999999</v>
      </c>
      <c r="C332" s="2">
        <v>46.805295000000001</v>
      </c>
      <c r="D332">
        <v>-8.3915689108360336E-4</v>
      </c>
    </row>
    <row r="333" spans="1:4" x14ac:dyDescent="0.25">
      <c r="A333" s="1">
        <v>41906</v>
      </c>
      <c r="B333" s="2">
        <v>1998.3000489999999</v>
      </c>
      <c r="C333" s="2">
        <v>47.155970000000003</v>
      </c>
      <c r="D333">
        <v>-3.4028345505010549E-4</v>
      </c>
    </row>
    <row r="334" spans="1:4" x14ac:dyDescent="0.25">
      <c r="A334" s="1">
        <v>41907</v>
      </c>
      <c r="B334" s="2">
        <v>1965.98999</v>
      </c>
      <c r="C334" s="2">
        <v>46.464362999999999</v>
      </c>
      <c r="D334">
        <v>1.502400518994973E-3</v>
      </c>
    </row>
    <row r="335" spans="1:4" x14ac:dyDescent="0.25">
      <c r="A335" s="1">
        <v>41908</v>
      </c>
      <c r="B335" s="2">
        <v>1982.849976</v>
      </c>
      <c r="C335" s="2">
        <v>46.824776999999997</v>
      </c>
      <c r="D335">
        <v>-8.190415376931881E-4</v>
      </c>
    </row>
    <row r="336" spans="1:4" x14ac:dyDescent="0.25">
      <c r="A336" s="1">
        <v>41911</v>
      </c>
      <c r="B336" s="2">
        <v>1977.8000489999999</v>
      </c>
      <c r="C336" s="2">
        <v>46.737107999999999</v>
      </c>
      <c r="D336">
        <v>6.7452435721782056E-4</v>
      </c>
    </row>
    <row r="337" spans="1:4" x14ac:dyDescent="0.25">
      <c r="A337" s="1">
        <v>41912</v>
      </c>
      <c r="B337" s="2">
        <v>1972.290039</v>
      </c>
      <c r="C337" s="2">
        <v>46.522806000000003</v>
      </c>
      <c r="D337">
        <v>-1.7993357133362364E-3</v>
      </c>
    </row>
    <row r="338" spans="1:4" x14ac:dyDescent="0.25">
      <c r="A338" s="1">
        <v>41913</v>
      </c>
      <c r="B338" s="2">
        <v>1946.160034</v>
      </c>
      <c r="C338" s="2">
        <v>45.909129</v>
      </c>
      <c r="D338">
        <v>5.7675707355819839E-5</v>
      </c>
    </row>
    <row r="339" spans="1:4" x14ac:dyDescent="0.25">
      <c r="A339" s="1">
        <v>41914</v>
      </c>
      <c r="B339" s="2">
        <v>1946.170044</v>
      </c>
      <c r="C339" s="2">
        <v>45.957833000000001</v>
      </c>
      <c r="D339">
        <v>1.0557348657997956E-3</v>
      </c>
    </row>
    <row r="340" spans="1:4" x14ac:dyDescent="0.25">
      <c r="A340" s="1">
        <v>41915</v>
      </c>
      <c r="B340" s="2">
        <v>1967.900024</v>
      </c>
      <c r="C340" s="2">
        <v>46.415658999999998</v>
      </c>
      <c r="D340">
        <v>-1.2036385233322733E-3</v>
      </c>
    </row>
    <row r="341" spans="1:4" x14ac:dyDescent="0.25">
      <c r="A341" s="1">
        <v>41918</v>
      </c>
      <c r="B341" s="2">
        <v>1964.8199460000001</v>
      </c>
      <c r="C341" s="2">
        <v>46.308508000000003</v>
      </c>
      <c r="D341">
        <v>-7.4334992488200857E-4</v>
      </c>
    </row>
    <row r="342" spans="1:4" x14ac:dyDescent="0.25">
      <c r="A342" s="1">
        <v>41919</v>
      </c>
      <c r="B342" s="2">
        <v>1935.099976</v>
      </c>
      <c r="C342" s="2">
        <v>45.587674999999997</v>
      </c>
      <c r="D342">
        <v>-4.398342674609701E-4</v>
      </c>
    </row>
    <row r="343" spans="1:4" x14ac:dyDescent="0.25">
      <c r="A343" s="1">
        <v>41920</v>
      </c>
      <c r="B343" s="2">
        <v>1968.8900149999999</v>
      </c>
      <c r="C343" s="2">
        <v>46.357211999999997</v>
      </c>
      <c r="D343">
        <v>-5.8127634363902558E-4</v>
      </c>
    </row>
    <row r="344" spans="1:4" x14ac:dyDescent="0.25">
      <c r="A344" s="1">
        <v>41921</v>
      </c>
      <c r="B344" s="2">
        <v>1928.209961</v>
      </c>
      <c r="C344" s="2">
        <v>45.324669</v>
      </c>
      <c r="D344">
        <v>-1.6122064741286302E-3</v>
      </c>
    </row>
    <row r="345" spans="1:4" x14ac:dyDescent="0.25">
      <c r="A345" s="1">
        <v>41922</v>
      </c>
      <c r="B345" s="2">
        <v>1906.130005</v>
      </c>
      <c r="C345" s="2">
        <v>44.769435000000001</v>
      </c>
      <c r="D345">
        <v>-7.9913782330542915E-4</v>
      </c>
    </row>
    <row r="346" spans="1:4" x14ac:dyDescent="0.25">
      <c r="A346" s="1">
        <v>41925</v>
      </c>
      <c r="B346" s="2">
        <v>1874.73999</v>
      </c>
      <c r="C346" s="2">
        <v>44.009641000000002</v>
      </c>
      <c r="D346">
        <v>-5.0333648090961081E-4</v>
      </c>
    </row>
    <row r="347" spans="1:4" x14ac:dyDescent="0.25">
      <c r="A347" s="1">
        <v>41926</v>
      </c>
      <c r="B347" s="2">
        <v>1877.6999510000001</v>
      </c>
      <c r="C347" s="2">
        <v>44.253165000000003</v>
      </c>
      <c r="D347">
        <v>3.9545591039931161E-3</v>
      </c>
    </row>
    <row r="348" spans="1:4" x14ac:dyDescent="0.25">
      <c r="A348" s="1">
        <v>41927</v>
      </c>
      <c r="B348" s="2">
        <v>1862.48999</v>
      </c>
      <c r="C348" s="2">
        <v>44.038862999999999</v>
      </c>
      <c r="D348">
        <v>3.2576782789414116E-3</v>
      </c>
    </row>
    <row r="349" spans="1:4" x14ac:dyDescent="0.25">
      <c r="A349" s="1">
        <v>41928</v>
      </c>
      <c r="B349" s="2">
        <v>1862.76001</v>
      </c>
      <c r="C349" s="2">
        <v>44.204461000000002</v>
      </c>
      <c r="D349">
        <v>3.6152916905303201E-3</v>
      </c>
    </row>
    <row r="350" spans="1:4" x14ac:dyDescent="0.25">
      <c r="A350" s="1">
        <v>41929</v>
      </c>
      <c r="B350" s="2">
        <v>1886.76001</v>
      </c>
      <c r="C350" s="2">
        <v>44.691509000000003</v>
      </c>
      <c r="D350">
        <v>-1.8660338916614005E-3</v>
      </c>
    </row>
    <row r="351" spans="1:4" x14ac:dyDescent="0.25">
      <c r="A351" s="1">
        <v>41932</v>
      </c>
      <c r="B351" s="2">
        <v>1904.01001</v>
      </c>
      <c r="C351" s="2">
        <v>45.159075000000001</v>
      </c>
      <c r="D351">
        <v>1.3194196067032316E-3</v>
      </c>
    </row>
    <row r="352" spans="1:4" x14ac:dyDescent="0.25">
      <c r="A352" s="1">
        <v>41933</v>
      </c>
      <c r="B352" s="2">
        <v>1941.280029</v>
      </c>
      <c r="C352" s="2">
        <v>46.113688000000003</v>
      </c>
      <c r="D352">
        <v>1.5644093231319545E-3</v>
      </c>
    </row>
    <row r="353" spans="1:4" x14ac:dyDescent="0.25">
      <c r="A353" s="1">
        <v>41934</v>
      </c>
      <c r="B353" s="2">
        <v>1927.1099850000001</v>
      </c>
      <c r="C353" s="2">
        <v>45.704566</v>
      </c>
      <c r="D353">
        <v>-1.5726992640119342E-3</v>
      </c>
    </row>
    <row r="354" spans="1:4" x14ac:dyDescent="0.25">
      <c r="A354" s="1">
        <v>41935</v>
      </c>
      <c r="B354" s="2">
        <v>1950.8199460000001</v>
      </c>
      <c r="C354" s="2">
        <v>46.279282000000002</v>
      </c>
      <c r="D354">
        <v>2.7120891941856407E-4</v>
      </c>
    </row>
    <row r="355" spans="1:4" x14ac:dyDescent="0.25">
      <c r="A355" s="1">
        <v>41936</v>
      </c>
      <c r="B355" s="2">
        <v>1964.579956</v>
      </c>
      <c r="C355" s="2">
        <v>46.600735999999998</v>
      </c>
      <c r="D355">
        <v>-1.0749041289814798E-4</v>
      </c>
    </row>
    <row r="356" spans="1:4" x14ac:dyDescent="0.25">
      <c r="A356" s="1">
        <v>41939</v>
      </c>
      <c r="B356" s="2">
        <v>1961.630005</v>
      </c>
      <c r="C356" s="2">
        <v>46.503328000000003</v>
      </c>
      <c r="D356">
        <v>-5.886991077537207E-4</v>
      </c>
    </row>
    <row r="357" spans="1:4" x14ac:dyDescent="0.25">
      <c r="A357" s="1">
        <v>41940</v>
      </c>
      <c r="B357" s="2">
        <v>1985.0500489999999</v>
      </c>
      <c r="C357" s="2">
        <v>47.097523000000002</v>
      </c>
      <c r="D357">
        <v>8.3839952710040855E-4</v>
      </c>
    </row>
    <row r="358" spans="1:4" x14ac:dyDescent="0.25">
      <c r="A358" s="1">
        <v>41941</v>
      </c>
      <c r="B358" s="2">
        <v>1982.3000489999999</v>
      </c>
      <c r="C358" s="2">
        <v>47.000115000000001</v>
      </c>
      <c r="D358">
        <v>-6.8286367311698459E-4</v>
      </c>
    </row>
    <row r="359" spans="1:4" x14ac:dyDescent="0.25">
      <c r="A359" s="1">
        <v>41942</v>
      </c>
      <c r="B359" s="2">
        <v>1994.650024</v>
      </c>
      <c r="C359" s="2">
        <v>47.331307000000002</v>
      </c>
      <c r="D359">
        <v>8.1649711187115059E-4</v>
      </c>
    </row>
    <row r="360" spans="1:4" x14ac:dyDescent="0.25">
      <c r="A360" s="1">
        <v>41943</v>
      </c>
      <c r="B360" s="2">
        <v>2018.0500489999999</v>
      </c>
      <c r="C360" s="2">
        <v>47.915762999999998</v>
      </c>
      <c r="D360">
        <v>6.1679675839187986E-4</v>
      </c>
    </row>
    <row r="361" spans="1:4" x14ac:dyDescent="0.25">
      <c r="A361" s="1">
        <v>41946</v>
      </c>
      <c r="B361" s="2">
        <v>2017.8100589999999</v>
      </c>
      <c r="C361" s="2">
        <v>47.915762999999998</v>
      </c>
      <c r="D361">
        <v>1.1892172848682048E-4</v>
      </c>
    </row>
    <row r="362" spans="1:4" x14ac:dyDescent="0.25">
      <c r="A362" s="1">
        <v>41947</v>
      </c>
      <c r="B362" s="2">
        <v>2012.099976</v>
      </c>
      <c r="C362" s="2">
        <v>47.701464999999999</v>
      </c>
      <c r="D362">
        <v>-1.6425487559597052E-3</v>
      </c>
    </row>
    <row r="363" spans="1:4" x14ac:dyDescent="0.25">
      <c r="A363" s="1">
        <v>41948</v>
      </c>
      <c r="B363" s="2">
        <v>2023.5699460000001</v>
      </c>
      <c r="C363" s="2">
        <v>48.052140000000001</v>
      </c>
      <c r="D363">
        <v>1.6509543040921226E-3</v>
      </c>
    </row>
    <row r="364" spans="1:4" x14ac:dyDescent="0.25">
      <c r="A364" s="1">
        <v>41949</v>
      </c>
      <c r="B364" s="2">
        <v>2031.209961</v>
      </c>
      <c r="C364" s="2">
        <v>48.266438000000001</v>
      </c>
      <c r="D364">
        <v>6.8418414132942473E-4</v>
      </c>
    </row>
    <row r="365" spans="1:4" x14ac:dyDescent="0.25">
      <c r="A365" s="1">
        <v>41950</v>
      </c>
      <c r="B365" s="2">
        <v>2031.920044</v>
      </c>
      <c r="C365" s="2">
        <v>48.305402999999998</v>
      </c>
      <c r="D365">
        <v>4.5770352224483446E-4</v>
      </c>
    </row>
    <row r="366" spans="1:4" x14ac:dyDescent="0.25">
      <c r="A366" s="1">
        <v>41953</v>
      </c>
      <c r="B366" s="2">
        <v>2038.26001</v>
      </c>
      <c r="C366" s="2">
        <v>48.441775999999997</v>
      </c>
      <c r="D366">
        <v>-2.9704303140087873E-4</v>
      </c>
    </row>
    <row r="367" spans="1:4" x14ac:dyDescent="0.25">
      <c r="A367" s="1">
        <v>41954</v>
      </c>
      <c r="B367" s="2">
        <v>2039.6800539999999</v>
      </c>
      <c r="C367" s="2">
        <v>48.461258000000001</v>
      </c>
      <c r="D367">
        <v>-2.9452070688806842E-4</v>
      </c>
    </row>
    <row r="368" spans="1:4" x14ac:dyDescent="0.25">
      <c r="A368" s="1">
        <v>41955</v>
      </c>
      <c r="B368" s="2">
        <v>2038.25</v>
      </c>
      <c r="C368" s="2">
        <v>48.461258000000001</v>
      </c>
      <c r="D368">
        <v>7.011168232956555E-4</v>
      </c>
    </row>
    <row r="369" spans="1:4" x14ac:dyDescent="0.25">
      <c r="A369" s="1">
        <v>41956</v>
      </c>
      <c r="B369" s="2">
        <v>2039.329956</v>
      </c>
      <c r="C369" s="2">
        <v>48.383329000000003</v>
      </c>
      <c r="D369">
        <v>-2.1379127562684008E-3</v>
      </c>
    </row>
    <row r="370" spans="1:4" x14ac:dyDescent="0.25">
      <c r="A370" s="1">
        <v>41957</v>
      </c>
      <c r="B370" s="2">
        <v>2039.8199460000001</v>
      </c>
      <c r="C370" s="2">
        <v>48.393071999999997</v>
      </c>
      <c r="D370">
        <v>-3.8899080332610581E-5</v>
      </c>
    </row>
    <row r="371" spans="1:4" x14ac:dyDescent="0.25">
      <c r="A371" s="1">
        <v>41960</v>
      </c>
      <c r="B371" s="2">
        <v>2041.3199460000001</v>
      </c>
      <c r="C371" s="2">
        <v>48.461258000000001</v>
      </c>
      <c r="D371">
        <v>6.7364431659711066E-4</v>
      </c>
    </row>
    <row r="372" spans="1:4" x14ac:dyDescent="0.25">
      <c r="A372" s="1">
        <v>41961</v>
      </c>
      <c r="B372" s="2">
        <v>2051.8000489999999</v>
      </c>
      <c r="C372" s="2">
        <v>48.743746999999999</v>
      </c>
      <c r="D372">
        <v>6.9518829170567287E-4</v>
      </c>
    </row>
    <row r="373" spans="1:4" x14ac:dyDescent="0.25">
      <c r="A373" s="1">
        <v>41962</v>
      </c>
      <c r="B373" s="2">
        <v>2048.719971</v>
      </c>
      <c r="C373" s="2">
        <v>48.675559999999997</v>
      </c>
      <c r="D373">
        <v>1.0227182361099985E-4</v>
      </c>
    </row>
    <row r="374" spans="1:4" x14ac:dyDescent="0.25">
      <c r="A374" s="1">
        <v>41963</v>
      </c>
      <c r="B374" s="2">
        <v>2052.75</v>
      </c>
      <c r="C374" s="2">
        <v>48.831415999999997</v>
      </c>
      <c r="D374">
        <v>1.234839358843276E-3</v>
      </c>
    </row>
    <row r="375" spans="1:4" x14ac:dyDescent="0.25">
      <c r="A375" s="1">
        <v>41964</v>
      </c>
      <c r="B375" s="2">
        <v>2063.5</v>
      </c>
      <c r="C375" s="2">
        <v>49.123643999999999</v>
      </c>
      <c r="D375">
        <v>7.475487319570373E-4</v>
      </c>
    </row>
    <row r="376" spans="1:4" x14ac:dyDescent="0.25">
      <c r="A376" s="1">
        <v>41967</v>
      </c>
      <c r="B376" s="2">
        <v>2069.4099120000001</v>
      </c>
      <c r="C376" s="2">
        <v>49.289237999999997</v>
      </c>
      <c r="D376">
        <v>5.0694001643813991E-4</v>
      </c>
    </row>
    <row r="377" spans="1:4" x14ac:dyDescent="0.25">
      <c r="A377" s="1">
        <v>41968</v>
      </c>
      <c r="B377" s="2">
        <v>2067.030029</v>
      </c>
      <c r="C377" s="2">
        <v>49.240533999999997</v>
      </c>
      <c r="D377">
        <v>1.6190331281551451E-4</v>
      </c>
    </row>
    <row r="378" spans="1:4" x14ac:dyDescent="0.25">
      <c r="A378" s="1">
        <v>41969</v>
      </c>
      <c r="B378" s="2">
        <v>2072.830078</v>
      </c>
      <c r="C378" s="2">
        <v>49.308720000000001</v>
      </c>
      <c r="D378">
        <v>-1.4212285099943767E-3</v>
      </c>
    </row>
    <row r="379" spans="1:4" x14ac:dyDescent="0.25">
      <c r="A379" s="1">
        <v>41971</v>
      </c>
      <c r="B379" s="2">
        <v>2067.5600589999999</v>
      </c>
      <c r="C379" s="2">
        <v>49.172348</v>
      </c>
      <c r="D379">
        <v>-2.2325022155555985E-4</v>
      </c>
    </row>
    <row r="380" spans="1:4" x14ac:dyDescent="0.25">
      <c r="A380" s="1">
        <v>41974</v>
      </c>
      <c r="B380" s="2">
        <v>2053.4399410000001</v>
      </c>
      <c r="C380" s="2">
        <v>48.782711999999997</v>
      </c>
      <c r="D380">
        <v>-1.0945214558893968E-3</v>
      </c>
    </row>
    <row r="381" spans="1:4" x14ac:dyDescent="0.25">
      <c r="A381" s="1">
        <v>41975</v>
      </c>
      <c r="B381" s="2">
        <v>2066.5500489999999</v>
      </c>
      <c r="C381" s="2">
        <v>49.065196</v>
      </c>
      <c r="D381">
        <v>-5.9380341110171209E-4</v>
      </c>
    </row>
    <row r="382" spans="1:4" x14ac:dyDescent="0.25">
      <c r="A382" s="1">
        <v>41976</v>
      </c>
      <c r="B382" s="2">
        <v>2074.330078</v>
      </c>
      <c r="C382" s="2">
        <v>49.376907000000003</v>
      </c>
      <c r="D382">
        <v>2.5882535259484918E-3</v>
      </c>
    </row>
    <row r="383" spans="1:4" x14ac:dyDescent="0.25">
      <c r="A383" s="1">
        <v>41977</v>
      </c>
      <c r="B383" s="2">
        <v>2071.919922</v>
      </c>
      <c r="C383" s="2">
        <v>49.269759000000001</v>
      </c>
      <c r="D383">
        <v>-1.008106177792345E-3</v>
      </c>
    </row>
    <row r="384" spans="1:4" x14ac:dyDescent="0.25">
      <c r="A384" s="1">
        <v>41978</v>
      </c>
      <c r="B384" s="2">
        <v>2075.3701169999999</v>
      </c>
      <c r="C384" s="2">
        <v>49.357424000000002</v>
      </c>
      <c r="D384">
        <v>1.1406977022532239E-4</v>
      </c>
    </row>
    <row r="385" spans="1:4" x14ac:dyDescent="0.25">
      <c r="A385" s="1">
        <v>41981</v>
      </c>
      <c r="B385" s="2">
        <v>2060.3100589999999</v>
      </c>
      <c r="C385" s="2">
        <v>48.977528</v>
      </c>
      <c r="D385">
        <v>-4.4027111608946345E-4</v>
      </c>
    </row>
    <row r="386" spans="1:4" x14ac:dyDescent="0.25">
      <c r="A386" s="1">
        <v>41982</v>
      </c>
      <c r="B386" s="2">
        <v>2059.820068</v>
      </c>
      <c r="C386" s="2">
        <v>49.055456999999997</v>
      </c>
      <c r="D386">
        <v>1.8289413739437377E-3</v>
      </c>
    </row>
    <row r="387" spans="1:4" x14ac:dyDescent="0.25">
      <c r="A387" s="1">
        <v>41983</v>
      </c>
      <c r="B387" s="2">
        <v>2026.1400149999999</v>
      </c>
      <c r="C387" s="2">
        <v>48.227474000000001</v>
      </c>
      <c r="D387">
        <v>-5.2754108420549617E-4</v>
      </c>
    </row>
    <row r="388" spans="1:4" x14ac:dyDescent="0.25">
      <c r="A388" s="1">
        <v>41984</v>
      </c>
      <c r="B388" s="2">
        <v>2035.329956</v>
      </c>
      <c r="C388" s="2">
        <v>48.470998000000002</v>
      </c>
      <c r="D388">
        <v>5.137979270601889E-4</v>
      </c>
    </row>
    <row r="389" spans="1:4" x14ac:dyDescent="0.25">
      <c r="A389" s="1">
        <v>41985</v>
      </c>
      <c r="B389" s="2">
        <v>2002.329956</v>
      </c>
      <c r="C389" s="2">
        <v>47.689999</v>
      </c>
      <c r="D389">
        <v>1.0088010474917919E-4</v>
      </c>
    </row>
    <row r="390" spans="1:4" x14ac:dyDescent="0.25">
      <c r="A390" s="1">
        <v>41988</v>
      </c>
      <c r="B390" s="2">
        <v>1989.630005</v>
      </c>
      <c r="C390" s="2">
        <v>47.470001000000003</v>
      </c>
      <c r="D390">
        <v>1.7295019254144339E-3</v>
      </c>
    </row>
    <row r="391" spans="1:4" x14ac:dyDescent="0.25">
      <c r="A391" s="1">
        <v>41989</v>
      </c>
      <c r="B391" s="2">
        <v>1972.73999</v>
      </c>
      <c r="C391" s="2">
        <v>47.16</v>
      </c>
      <c r="D391">
        <v>1.9585618569243346E-3</v>
      </c>
    </row>
    <row r="392" spans="1:4" x14ac:dyDescent="0.25">
      <c r="A392" s="1">
        <v>41990</v>
      </c>
      <c r="B392" s="2">
        <v>2012.8900149999999</v>
      </c>
      <c r="C392" s="2">
        <v>48.150002000000001</v>
      </c>
      <c r="D392">
        <v>6.3999278875281895E-4</v>
      </c>
    </row>
    <row r="393" spans="1:4" x14ac:dyDescent="0.25">
      <c r="A393" s="1">
        <v>41991</v>
      </c>
      <c r="B393" s="2">
        <v>2061.2299800000001</v>
      </c>
      <c r="C393" s="2">
        <v>49.189999</v>
      </c>
      <c r="D393">
        <v>-2.4160982677265963E-3</v>
      </c>
    </row>
    <row r="394" spans="1:4" x14ac:dyDescent="0.25">
      <c r="A394" s="1">
        <v>41992</v>
      </c>
      <c r="B394" s="2">
        <v>2070.6499020000001</v>
      </c>
      <c r="C394" s="2">
        <v>49.470001000000003</v>
      </c>
      <c r="D394">
        <v>1.1222056432995675E-3</v>
      </c>
    </row>
    <row r="395" spans="1:4" x14ac:dyDescent="0.25">
      <c r="A395" s="1">
        <v>41995</v>
      </c>
      <c r="B395" s="2">
        <v>2078.540039</v>
      </c>
      <c r="C395" s="2">
        <v>49.619999</v>
      </c>
      <c r="D395">
        <v>-7.7836384285245863E-4</v>
      </c>
    </row>
    <row r="396" spans="1:4" x14ac:dyDescent="0.25">
      <c r="A396" s="1">
        <v>41996</v>
      </c>
      <c r="B396" s="2">
        <v>2082.169922</v>
      </c>
      <c r="C396" s="2">
        <v>49.810001</v>
      </c>
      <c r="D396">
        <v>2.0827797157592087E-3</v>
      </c>
    </row>
    <row r="397" spans="1:4" x14ac:dyDescent="0.25">
      <c r="A397" s="1">
        <v>41997</v>
      </c>
      <c r="B397" s="2">
        <v>2081.8798830000001</v>
      </c>
      <c r="C397" s="2">
        <v>49.790000999999997</v>
      </c>
      <c r="D397">
        <v>-2.6222928158592396E-4</v>
      </c>
    </row>
    <row r="398" spans="1:4" x14ac:dyDescent="0.25">
      <c r="A398" s="1">
        <v>41999</v>
      </c>
      <c r="B398" s="2">
        <v>2088.7700199999999</v>
      </c>
      <c r="C398" s="2">
        <v>49.919998</v>
      </c>
      <c r="D398">
        <v>-6.9866895323977829E-4</v>
      </c>
    </row>
    <row r="399" spans="1:4" x14ac:dyDescent="0.25">
      <c r="A399" s="1">
        <v>42002</v>
      </c>
      <c r="B399" s="2">
        <v>2090.570068</v>
      </c>
      <c r="C399" s="2">
        <v>50.049999</v>
      </c>
      <c r="D399">
        <v>1.7424126571365939E-3</v>
      </c>
    </row>
    <row r="400" spans="1:4" x14ac:dyDescent="0.25">
      <c r="A400" s="1">
        <v>42003</v>
      </c>
      <c r="B400" s="2">
        <v>2080.3500979999999</v>
      </c>
      <c r="C400" s="2">
        <v>49.779998999999997</v>
      </c>
      <c r="D400">
        <v>-5.0600111814291804E-4</v>
      </c>
    </row>
    <row r="401" spans="1:4" x14ac:dyDescent="0.25">
      <c r="A401" s="1">
        <v>42004</v>
      </c>
      <c r="B401" s="2">
        <v>2058.8999020000001</v>
      </c>
      <c r="C401" s="2">
        <v>49.310001</v>
      </c>
      <c r="D401">
        <v>8.6935594354442536E-4</v>
      </c>
    </row>
    <row r="402" spans="1:4" x14ac:dyDescent="0.25">
      <c r="A402" s="1">
        <v>42006</v>
      </c>
      <c r="B402" s="2">
        <v>2058.1999510000001</v>
      </c>
      <c r="C402" s="2">
        <v>49.299999</v>
      </c>
      <c r="D402">
        <v>1.3712441238322715E-4</v>
      </c>
    </row>
    <row r="403" spans="1:4" x14ac:dyDescent="0.25">
      <c r="A403" s="1">
        <v>42009</v>
      </c>
      <c r="B403" s="2">
        <v>2020.579956</v>
      </c>
      <c r="C403" s="2">
        <v>48.310001</v>
      </c>
      <c r="D403">
        <v>-1.802990652306824E-3</v>
      </c>
    </row>
    <row r="404" spans="1:4" x14ac:dyDescent="0.25">
      <c r="A404" s="1">
        <v>42010</v>
      </c>
      <c r="B404" s="2">
        <v>2002.6099850000001</v>
      </c>
      <c r="C404" s="2">
        <v>47.82</v>
      </c>
      <c r="D404">
        <v>-1.2493761915131074E-3</v>
      </c>
    </row>
    <row r="405" spans="1:4" x14ac:dyDescent="0.25">
      <c r="A405" s="1">
        <v>42011</v>
      </c>
      <c r="B405" s="2">
        <v>2025.900024</v>
      </c>
      <c r="C405" s="2">
        <v>48.369999</v>
      </c>
      <c r="D405">
        <v>-1.2839973165923446E-4</v>
      </c>
    </row>
    <row r="406" spans="1:4" x14ac:dyDescent="0.25">
      <c r="A406" s="1">
        <v>42012</v>
      </c>
      <c r="B406" s="2">
        <v>2062.139893</v>
      </c>
      <c r="C406" s="2">
        <v>49.23</v>
      </c>
      <c r="D406">
        <v>-1.0864454011993985E-4</v>
      </c>
    </row>
    <row r="407" spans="1:4" x14ac:dyDescent="0.25">
      <c r="A407" s="1">
        <v>42013</v>
      </c>
      <c r="B407" s="2">
        <v>2044.8100589999999</v>
      </c>
      <c r="C407" s="2">
        <v>48.82</v>
      </c>
      <c r="D407">
        <v>7.5555911587033009E-5</v>
      </c>
    </row>
    <row r="408" spans="1:4" x14ac:dyDescent="0.25">
      <c r="A408" s="1">
        <v>42016</v>
      </c>
      <c r="B408" s="2">
        <v>2028.26001</v>
      </c>
      <c r="C408" s="2">
        <v>48.360000999999997</v>
      </c>
      <c r="D408">
        <v>-1.3286621552482947E-3</v>
      </c>
    </row>
    <row r="409" spans="1:4" x14ac:dyDescent="0.25">
      <c r="A409" s="1">
        <v>42017</v>
      </c>
      <c r="B409" s="2">
        <v>2023.030029</v>
      </c>
      <c r="C409" s="2">
        <v>48.209999000000003</v>
      </c>
      <c r="D409">
        <v>-5.2322276713667737E-4</v>
      </c>
    </row>
    <row r="410" spans="1:4" x14ac:dyDescent="0.25">
      <c r="A410" s="1">
        <v>42018</v>
      </c>
      <c r="B410" s="2">
        <v>2011.2700199999999</v>
      </c>
      <c r="C410" s="2">
        <v>47.970001000000003</v>
      </c>
      <c r="D410">
        <v>8.3488804544484818E-4</v>
      </c>
    </row>
    <row r="411" spans="1:4" x14ac:dyDescent="0.25">
      <c r="A411" s="1">
        <v>42019</v>
      </c>
      <c r="B411" s="2">
        <v>1992.670044</v>
      </c>
      <c r="C411" s="2">
        <v>47.529998999999997</v>
      </c>
      <c r="D411">
        <v>7.5435207739227295E-5</v>
      </c>
    </row>
    <row r="412" spans="1:4" x14ac:dyDescent="0.25">
      <c r="A412" s="1">
        <v>42020</v>
      </c>
      <c r="B412" s="2">
        <v>2019.420044</v>
      </c>
      <c r="C412" s="2">
        <v>48.209999000000003</v>
      </c>
      <c r="D412">
        <v>8.825545348396524E-4</v>
      </c>
    </row>
    <row r="413" spans="1:4" x14ac:dyDescent="0.25">
      <c r="A413" s="1">
        <v>42024</v>
      </c>
      <c r="B413" s="2">
        <v>2022.5500489999999</v>
      </c>
      <c r="C413" s="2">
        <v>48.18</v>
      </c>
      <c r="D413">
        <v>-2.1722092339305776E-3</v>
      </c>
    </row>
    <row r="414" spans="1:4" x14ac:dyDescent="0.25">
      <c r="A414" s="1">
        <v>42025</v>
      </c>
      <c r="B414" s="2">
        <v>2032.119995</v>
      </c>
      <c r="C414" s="2">
        <v>48.540000999999997</v>
      </c>
      <c r="D414">
        <v>2.7403770047766951E-3</v>
      </c>
    </row>
    <row r="415" spans="1:4" x14ac:dyDescent="0.25">
      <c r="A415" s="1">
        <v>42026</v>
      </c>
      <c r="B415" s="2">
        <v>2063.1499020000001</v>
      </c>
      <c r="C415" s="2">
        <v>49.200001</v>
      </c>
      <c r="D415">
        <v>-1.6726887115541267E-3</v>
      </c>
    </row>
    <row r="416" spans="1:4" x14ac:dyDescent="0.25">
      <c r="A416" s="1">
        <v>42027</v>
      </c>
      <c r="B416" s="2">
        <v>2051.820068</v>
      </c>
      <c r="C416" s="2">
        <v>48.939999</v>
      </c>
      <c r="D416">
        <v>2.0692905927099936E-4</v>
      </c>
    </row>
    <row r="417" spans="1:4" x14ac:dyDescent="0.25">
      <c r="A417" s="1">
        <v>42030</v>
      </c>
      <c r="B417" s="2">
        <v>2057.0900879999999</v>
      </c>
      <c r="C417" s="2">
        <v>49.18</v>
      </c>
      <c r="D417">
        <v>2.3355234850488404E-3</v>
      </c>
    </row>
    <row r="418" spans="1:4" x14ac:dyDescent="0.25">
      <c r="A418" s="1">
        <v>42031</v>
      </c>
      <c r="B418" s="2">
        <v>2029.5500489999999</v>
      </c>
      <c r="C418" s="2">
        <v>48.790000999999997</v>
      </c>
      <c r="D418">
        <v>5.4578298457661489E-3</v>
      </c>
    </row>
    <row r="419" spans="1:4" x14ac:dyDescent="0.25">
      <c r="A419" s="1">
        <v>42032</v>
      </c>
      <c r="B419" s="2">
        <v>2002.160034</v>
      </c>
      <c r="C419" s="2">
        <v>48.07</v>
      </c>
      <c r="D419">
        <v>-1.2615330162529803E-3</v>
      </c>
    </row>
    <row r="420" spans="1:4" x14ac:dyDescent="0.25">
      <c r="A420" s="1">
        <v>42033</v>
      </c>
      <c r="B420" s="2">
        <v>2021.25</v>
      </c>
      <c r="C420" s="2">
        <v>48.509998000000003</v>
      </c>
      <c r="D420">
        <v>-3.8140890589044574E-4</v>
      </c>
    </row>
    <row r="421" spans="1:4" x14ac:dyDescent="0.25">
      <c r="A421" s="1">
        <v>42034</v>
      </c>
      <c r="B421" s="2">
        <v>1994.98999</v>
      </c>
      <c r="C421" s="2">
        <v>47.91</v>
      </c>
      <c r="D421">
        <v>6.2342228948475409E-4</v>
      </c>
    </row>
    <row r="422" spans="1:4" x14ac:dyDescent="0.25">
      <c r="A422" s="1">
        <v>42037</v>
      </c>
      <c r="B422" s="2">
        <v>2020.849976</v>
      </c>
      <c r="C422" s="2">
        <v>48.549999</v>
      </c>
      <c r="D422">
        <v>3.958953866944892E-4</v>
      </c>
    </row>
    <row r="423" spans="1:4" x14ac:dyDescent="0.25">
      <c r="A423" s="1">
        <v>42038</v>
      </c>
      <c r="B423" s="2">
        <v>2050.030029</v>
      </c>
      <c r="C423" s="2">
        <v>49.389999000000003</v>
      </c>
      <c r="D423">
        <v>2.8622561902298393E-3</v>
      </c>
    </row>
    <row r="424" spans="1:4" x14ac:dyDescent="0.25">
      <c r="A424" s="1">
        <v>42039</v>
      </c>
      <c r="B424" s="2">
        <v>2041.51001</v>
      </c>
      <c r="C424" s="2">
        <v>49.130001</v>
      </c>
      <c r="D424">
        <v>-1.1081371892958103E-3</v>
      </c>
    </row>
    <row r="425" spans="1:4" x14ac:dyDescent="0.25">
      <c r="A425" s="1">
        <v>42040</v>
      </c>
      <c r="B425" s="2">
        <v>2062.5200199999999</v>
      </c>
      <c r="C425" s="2">
        <v>49.68</v>
      </c>
      <c r="D425">
        <v>9.0336195199580693E-4</v>
      </c>
    </row>
    <row r="426" spans="1:4" x14ac:dyDescent="0.25">
      <c r="A426" s="1">
        <v>42041</v>
      </c>
      <c r="B426" s="2">
        <v>2055.469971</v>
      </c>
      <c r="C426" s="2">
        <v>49.490001999999997</v>
      </c>
      <c r="D426">
        <v>-4.0626399621723763E-4</v>
      </c>
    </row>
    <row r="427" spans="1:4" x14ac:dyDescent="0.25">
      <c r="A427" s="1">
        <v>42044</v>
      </c>
      <c r="B427" s="2">
        <v>2046.73999</v>
      </c>
      <c r="C427" s="2">
        <v>49.32</v>
      </c>
      <c r="D427">
        <v>8.1211696415650625E-4</v>
      </c>
    </row>
    <row r="428" spans="1:4" x14ac:dyDescent="0.25">
      <c r="A428" s="1">
        <v>42045</v>
      </c>
      <c r="B428" s="2">
        <v>2068.5900879999999</v>
      </c>
      <c r="C428" s="2">
        <v>49.810001</v>
      </c>
      <c r="D428">
        <v>-7.4042331330326228E-4</v>
      </c>
    </row>
    <row r="429" spans="1:4" x14ac:dyDescent="0.25">
      <c r="A429" s="1">
        <v>42046</v>
      </c>
      <c r="B429" s="2">
        <v>2068.530029</v>
      </c>
      <c r="C429" s="2">
        <v>49.75</v>
      </c>
      <c r="D429">
        <v>-1.1755636611399112E-3</v>
      </c>
    </row>
    <row r="430" spans="1:4" x14ac:dyDescent="0.25">
      <c r="A430" s="1">
        <v>42047</v>
      </c>
      <c r="B430" s="2">
        <v>2088.4799800000001</v>
      </c>
      <c r="C430" s="2">
        <v>50.279998999999997</v>
      </c>
      <c r="D430">
        <v>1.0087398810860737E-3</v>
      </c>
    </row>
    <row r="431" spans="1:4" x14ac:dyDescent="0.25">
      <c r="A431" s="1">
        <v>42048</v>
      </c>
      <c r="B431" s="2">
        <v>2096.98999</v>
      </c>
      <c r="C431" s="2">
        <v>50.509998000000003</v>
      </c>
      <c r="D431">
        <v>4.9962505015122005E-4</v>
      </c>
    </row>
    <row r="432" spans="1:4" x14ac:dyDescent="0.25">
      <c r="A432" s="1">
        <v>42052</v>
      </c>
      <c r="B432" s="2">
        <v>2100.3400879999999</v>
      </c>
      <c r="C432" s="2">
        <v>50.619999</v>
      </c>
      <c r="D432">
        <v>5.8023183473099316E-4</v>
      </c>
    </row>
    <row r="433" spans="1:4" x14ac:dyDescent="0.25">
      <c r="A433" s="1">
        <v>42053</v>
      </c>
      <c r="B433" s="2">
        <v>2099.679932</v>
      </c>
      <c r="C433" s="2">
        <v>50.650002000000001</v>
      </c>
      <c r="D433">
        <v>9.0701950154781219E-4</v>
      </c>
    </row>
    <row r="434" spans="1:4" x14ac:dyDescent="0.25">
      <c r="A434" s="1">
        <v>42054</v>
      </c>
      <c r="B434" s="2">
        <v>2097.4499510000001</v>
      </c>
      <c r="C434" s="2">
        <v>50.619999</v>
      </c>
      <c r="D434">
        <v>4.6969828068632591E-4</v>
      </c>
    </row>
    <row r="435" spans="1:4" x14ac:dyDescent="0.25">
      <c r="A435" s="1">
        <v>42055</v>
      </c>
      <c r="B435" s="2">
        <v>2110.3000489999999</v>
      </c>
      <c r="C435" s="2">
        <v>50.91</v>
      </c>
      <c r="D435">
        <v>-3.9755303788790997E-4</v>
      </c>
    </row>
    <row r="436" spans="1:4" x14ac:dyDescent="0.25">
      <c r="A436" s="1">
        <v>42058</v>
      </c>
      <c r="B436" s="2">
        <v>2109.6599120000001</v>
      </c>
      <c r="C436" s="2">
        <v>50.849997999999999</v>
      </c>
      <c r="D436">
        <v>-8.7525033944557684E-4</v>
      </c>
    </row>
    <row r="437" spans="1:4" x14ac:dyDescent="0.25">
      <c r="A437" s="1">
        <v>42059</v>
      </c>
      <c r="B437" s="2">
        <v>2115.4799800000001</v>
      </c>
      <c r="C437" s="2">
        <v>50.939999</v>
      </c>
      <c r="D437">
        <v>-9.8883948294048452E-4</v>
      </c>
    </row>
    <row r="438" spans="1:4" x14ac:dyDescent="0.25">
      <c r="A438" s="1">
        <v>42060</v>
      </c>
      <c r="B438" s="2">
        <v>2113.860107</v>
      </c>
      <c r="C438" s="2">
        <v>50.93</v>
      </c>
      <c r="D438">
        <v>5.6943386901620041E-4</v>
      </c>
    </row>
    <row r="439" spans="1:4" x14ac:dyDescent="0.25">
      <c r="A439" s="1">
        <v>42061</v>
      </c>
      <c r="B439" s="2">
        <v>2110.73999</v>
      </c>
      <c r="C439" s="2">
        <v>50.73</v>
      </c>
      <c r="D439">
        <v>-2.4509304315122327E-3</v>
      </c>
    </row>
    <row r="440" spans="1:4" x14ac:dyDescent="0.25">
      <c r="A440" s="1">
        <v>42062</v>
      </c>
      <c r="B440" s="2">
        <v>2104.5</v>
      </c>
      <c r="C440" s="2">
        <v>50.639999000000003</v>
      </c>
      <c r="D440">
        <v>1.1821865590798675E-3</v>
      </c>
    </row>
    <row r="441" spans="1:4" x14ac:dyDescent="0.25">
      <c r="A441" s="1">
        <v>42065</v>
      </c>
      <c r="B441" s="2">
        <v>2117.389893</v>
      </c>
      <c r="C441" s="2">
        <v>50.91</v>
      </c>
      <c r="D441">
        <v>-7.9314605127822624E-4</v>
      </c>
    </row>
    <row r="442" spans="1:4" x14ac:dyDescent="0.25">
      <c r="A442" s="1">
        <v>42066</v>
      </c>
      <c r="B442" s="2">
        <v>2107.780029</v>
      </c>
      <c r="C442" s="2">
        <v>50.689999</v>
      </c>
      <c r="D442">
        <v>2.1717144434052482E-4</v>
      </c>
    </row>
    <row r="443" spans="1:4" x14ac:dyDescent="0.25">
      <c r="A443" s="1">
        <v>42067</v>
      </c>
      <c r="B443" s="2">
        <v>2098.530029</v>
      </c>
      <c r="C443" s="2">
        <v>50.439999</v>
      </c>
      <c r="D443">
        <v>-5.4343585217098145E-4</v>
      </c>
    </row>
    <row r="444" spans="1:4" x14ac:dyDescent="0.25">
      <c r="A444" s="1">
        <v>42068</v>
      </c>
      <c r="B444" s="2">
        <v>2101.040039</v>
      </c>
      <c r="C444" s="2">
        <v>50.540000999999997</v>
      </c>
      <c r="D444">
        <v>7.8651312262856266E-4</v>
      </c>
    </row>
    <row r="445" spans="1:4" x14ac:dyDescent="0.25">
      <c r="A445" s="1">
        <v>42069</v>
      </c>
      <c r="B445" s="2">
        <v>2071.26001</v>
      </c>
      <c r="C445" s="2">
        <v>49.779998999999997</v>
      </c>
      <c r="D445">
        <v>-8.6368681103454747E-4</v>
      </c>
    </row>
    <row r="446" spans="1:4" x14ac:dyDescent="0.25">
      <c r="A446" s="1">
        <v>42072</v>
      </c>
      <c r="B446" s="2">
        <v>2079.429932</v>
      </c>
      <c r="C446" s="2">
        <v>49.919998</v>
      </c>
      <c r="D446">
        <v>-1.1320668354251051E-3</v>
      </c>
    </row>
    <row r="447" spans="1:4" x14ac:dyDescent="0.25">
      <c r="A447" s="1">
        <v>42073</v>
      </c>
      <c r="B447" s="2">
        <v>2044.160034</v>
      </c>
      <c r="C447" s="2">
        <v>49.150002000000001</v>
      </c>
      <c r="D447">
        <v>1.5367303651997455E-3</v>
      </c>
    </row>
    <row r="448" spans="1:4" x14ac:dyDescent="0.25">
      <c r="A448" s="1">
        <v>42074</v>
      </c>
      <c r="B448" s="2">
        <v>2040.23999</v>
      </c>
      <c r="C448" s="2">
        <v>49.150002000000001</v>
      </c>
      <c r="D448">
        <v>1.9176796017918996E-3</v>
      </c>
    </row>
    <row r="449" spans="1:4" x14ac:dyDescent="0.25">
      <c r="A449" s="1">
        <v>42075</v>
      </c>
      <c r="B449" s="2">
        <v>2065.9499510000001</v>
      </c>
      <c r="C449" s="2">
        <v>49.779998999999997</v>
      </c>
      <c r="D449">
        <v>2.1640321685412189E-4</v>
      </c>
    </row>
    <row r="450" spans="1:4" x14ac:dyDescent="0.25">
      <c r="A450" s="1">
        <v>42076</v>
      </c>
      <c r="B450" s="2">
        <v>2053.3999020000001</v>
      </c>
      <c r="C450" s="2">
        <v>49.459999000000003</v>
      </c>
      <c r="D450">
        <v>-3.5357352882658954E-4</v>
      </c>
    </row>
    <row r="451" spans="1:4" x14ac:dyDescent="0.25">
      <c r="A451" s="1">
        <v>42079</v>
      </c>
      <c r="B451" s="2">
        <v>2081.1899410000001</v>
      </c>
      <c r="C451" s="2">
        <v>50.119999</v>
      </c>
      <c r="D451">
        <v>-1.8955441607571011E-4</v>
      </c>
    </row>
    <row r="452" spans="1:4" x14ac:dyDescent="0.25">
      <c r="A452" s="1">
        <v>42080</v>
      </c>
      <c r="B452" s="2">
        <v>2074.280029</v>
      </c>
      <c r="C452" s="2">
        <v>49.950001</v>
      </c>
      <c r="D452">
        <v>-7.1646051877927164E-5</v>
      </c>
    </row>
    <row r="453" spans="1:4" x14ac:dyDescent="0.25">
      <c r="A453" s="1">
        <v>42081</v>
      </c>
      <c r="B453" s="2">
        <v>2099.5</v>
      </c>
      <c r="C453" s="2">
        <v>50.639999000000003</v>
      </c>
      <c r="D453">
        <v>1.6553519497906066E-3</v>
      </c>
    </row>
    <row r="454" spans="1:4" x14ac:dyDescent="0.25">
      <c r="A454" s="1">
        <v>42082</v>
      </c>
      <c r="B454" s="2">
        <v>2089.2700199999999</v>
      </c>
      <c r="C454" s="2">
        <v>50.369999</v>
      </c>
      <c r="D454">
        <v>-4.5917447426935265E-4</v>
      </c>
    </row>
    <row r="455" spans="1:4" x14ac:dyDescent="0.25">
      <c r="A455" s="1">
        <v>42083</v>
      </c>
      <c r="B455" s="2">
        <v>2108.1000979999999</v>
      </c>
      <c r="C455" s="2">
        <v>50.880001</v>
      </c>
      <c r="D455">
        <v>1.1123597483191361E-3</v>
      </c>
    </row>
    <row r="456" spans="1:4" x14ac:dyDescent="0.25">
      <c r="A456" s="1">
        <v>42086</v>
      </c>
      <c r="B456" s="2">
        <v>2104.419922</v>
      </c>
      <c r="C456" s="2">
        <v>50.790000999999997</v>
      </c>
      <c r="D456">
        <v>-2.313674374609942E-5</v>
      </c>
    </row>
    <row r="457" spans="1:4" x14ac:dyDescent="0.25">
      <c r="A457" s="1">
        <v>42087</v>
      </c>
      <c r="B457" s="2">
        <v>2091.5</v>
      </c>
      <c r="C457" s="2">
        <v>50.5</v>
      </c>
      <c r="D457">
        <v>4.2961704866284478E-4</v>
      </c>
    </row>
    <row r="458" spans="1:4" x14ac:dyDescent="0.25">
      <c r="A458" s="1">
        <v>42088</v>
      </c>
      <c r="B458" s="2">
        <v>2061.0500489999999</v>
      </c>
      <c r="C458" s="2">
        <v>49.830002</v>
      </c>
      <c r="D458">
        <v>1.2916184414520915E-3</v>
      </c>
    </row>
    <row r="459" spans="1:4" x14ac:dyDescent="0.25">
      <c r="A459" s="1">
        <v>42089</v>
      </c>
      <c r="B459" s="2">
        <v>2056.1499020000001</v>
      </c>
      <c r="C459" s="2">
        <v>49.709999000000003</v>
      </c>
      <c r="D459">
        <v>-3.0747699968802777E-5</v>
      </c>
    </row>
    <row r="460" spans="1:4" x14ac:dyDescent="0.25">
      <c r="A460" s="1">
        <v>42090</v>
      </c>
      <c r="B460" s="2">
        <v>2061.0200199999999</v>
      </c>
      <c r="C460" s="2">
        <v>49.91</v>
      </c>
      <c r="D460">
        <v>1.6547937975475158E-3</v>
      </c>
    </row>
    <row r="461" spans="1:4" x14ac:dyDescent="0.25">
      <c r="A461" s="1">
        <v>42093</v>
      </c>
      <c r="B461" s="2">
        <v>2086.23999</v>
      </c>
      <c r="C461" s="2">
        <v>50.509998000000003</v>
      </c>
      <c r="D461">
        <v>-2.1504596547905486E-4</v>
      </c>
    </row>
    <row r="462" spans="1:4" x14ac:dyDescent="0.25">
      <c r="A462" s="1">
        <v>42094</v>
      </c>
      <c r="B462" s="2">
        <v>2067.889893</v>
      </c>
      <c r="C462" s="2">
        <v>50.169998</v>
      </c>
      <c r="D462">
        <v>2.064434142123317E-3</v>
      </c>
    </row>
    <row r="463" spans="1:4" x14ac:dyDescent="0.25">
      <c r="A463" s="1">
        <v>42095</v>
      </c>
      <c r="B463" s="2">
        <v>2059.6899410000001</v>
      </c>
      <c r="C463" s="2">
        <v>50.02</v>
      </c>
      <c r="D463">
        <v>9.7557685356941537E-4</v>
      </c>
    </row>
    <row r="464" spans="1:4" x14ac:dyDescent="0.25">
      <c r="A464" s="1">
        <v>42096</v>
      </c>
      <c r="B464" s="2">
        <v>2066.959961</v>
      </c>
      <c r="C464" s="2">
        <v>50.259998000000003</v>
      </c>
      <c r="D464">
        <v>1.2683735967553567E-3</v>
      </c>
    </row>
    <row r="465" spans="1:4" x14ac:dyDescent="0.25">
      <c r="A465" s="1">
        <v>42100</v>
      </c>
      <c r="B465" s="2">
        <v>2080.6201169999999</v>
      </c>
      <c r="C465" s="2">
        <v>50.630001</v>
      </c>
      <c r="D465">
        <v>7.5296404085989366E-4</v>
      </c>
    </row>
    <row r="466" spans="1:4" x14ac:dyDescent="0.25">
      <c r="A466" s="1">
        <v>42101</v>
      </c>
      <c r="B466" s="2">
        <v>2076.330078</v>
      </c>
      <c r="C466" s="2">
        <v>50.450001</v>
      </c>
      <c r="D466">
        <v>-1.4933003260255706E-3</v>
      </c>
    </row>
    <row r="467" spans="1:4" x14ac:dyDescent="0.25">
      <c r="A467" s="1">
        <v>42102</v>
      </c>
      <c r="B467" s="2">
        <v>2081.8999020000001</v>
      </c>
      <c r="C467" s="2">
        <v>50.630001</v>
      </c>
      <c r="D467">
        <v>8.8535590571270362E-4</v>
      </c>
    </row>
    <row r="468" spans="1:4" x14ac:dyDescent="0.25">
      <c r="A468" s="1">
        <v>42103</v>
      </c>
      <c r="B468" s="2">
        <v>2091.179932</v>
      </c>
      <c r="C468" s="2">
        <v>50.810001</v>
      </c>
      <c r="D468">
        <v>-9.0227700281841905E-4</v>
      </c>
    </row>
    <row r="469" spans="1:4" x14ac:dyDescent="0.25">
      <c r="A469" s="1">
        <v>42104</v>
      </c>
      <c r="B469" s="2">
        <v>2102.0600589999999</v>
      </c>
      <c r="C469" s="2">
        <v>50.959999000000003</v>
      </c>
      <c r="D469">
        <v>-2.2507297105491819E-3</v>
      </c>
    </row>
    <row r="470" spans="1:4" x14ac:dyDescent="0.25">
      <c r="A470" s="1">
        <v>42107</v>
      </c>
      <c r="B470" s="2">
        <v>2092.429932</v>
      </c>
      <c r="C470" s="2">
        <v>50.709999000000003</v>
      </c>
      <c r="D470">
        <v>-3.2452795843951332E-4</v>
      </c>
    </row>
    <row r="471" spans="1:4" x14ac:dyDescent="0.25">
      <c r="A471" s="1">
        <v>42108</v>
      </c>
      <c r="B471" s="2">
        <v>2095.8400879999999</v>
      </c>
      <c r="C471" s="2">
        <v>50.82</v>
      </c>
      <c r="D471">
        <v>5.394584051470197E-4</v>
      </c>
    </row>
    <row r="472" spans="1:4" x14ac:dyDescent="0.25">
      <c r="A472" s="1">
        <v>42109</v>
      </c>
      <c r="B472" s="2">
        <v>2106.6298830000001</v>
      </c>
      <c r="C472" s="2">
        <v>51.16</v>
      </c>
      <c r="D472">
        <v>1.5420836836415042E-3</v>
      </c>
    </row>
    <row r="473" spans="1:4" x14ac:dyDescent="0.25">
      <c r="A473" s="1">
        <v>42110</v>
      </c>
      <c r="B473" s="2">
        <v>2104.98999</v>
      </c>
      <c r="C473" s="2">
        <v>51.060001</v>
      </c>
      <c r="D473">
        <v>-1.1761887117943681E-3</v>
      </c>
    </row>
    <row r="474" spans="1:4" x14ac:dyDescent="0.25">
      <c r="A474" s="1">
        <v>42111</v>
      </c>
      <c r="B474" s="2">
        <v>2081.179932</v>
      </c>
      <c r="C474" s="2">
        <v>50.5</v>
      </c>
      <c r="D474">
        <v>3.4373663943354504E-4</v>
      </c>
    </row>
    <row r="475" spans="1:4" x14ac:dyDescent="0.25">
      <c r="A475" s="1">
        <v>42114</v>
      </c>
      <c r="B475" s="2">
        <v>2100.3999020000001</v>
      </c>
      <c r="C475" s="2">
        <v>50.880001</v>
      </c>
      <c r="D475">
        <v>-1.7103590559528481E-3</v>
      </c>
    </row>
    <row r="476" spans="1:4" x14ac:dyDescent="0.25">
      <c r="A476" s="1">
        <v>42115</v>
      </c>
      <c r="B476" s="2">
        <v>2097.290039</v>
      </c>
      <c r="C476" s="2">
        <v>50.799999</v>
      </c>
      <c r="D476">
        <v>-9.1761129382361695E-5</v>
      </c>
    </row>
    <row r="477" spans="1:4" x14ac:dyDescent="0.25">
      <c r="A477" s="1">
        <v>42116</v>
      </c>
      <c r="B477" s="2">
        <v>2107.959961</v>
      </c>
      <c r="C477" s="2">
        <v>50.990001999999997</v>
      </c>
      <c r="D477">
        <v>-1.3472638069003118E-3</v>
      </c>
    </row>
    <row r="478" spans="1:4" x14ac:dyDescent="0.25">
      <c r="A478" s="1">
        <v>42117</v>
      </c>
      <c r="B478" s="2">
        <v>2112.929932</v>
      </c>
      <c r="C478" s="2">
        <v>51.139999000000003</v>
      </c>
      <c r="D478">
        <v>5.8397830007250739E-4</v>
      </c>
    </row>
    <row r="479" spans="1:4" x14ac:dyDescent="0.25">
      <c r="A479" s="1">
        <v>42118</v>
      </c>
      <c r="B479" s="2">
        <v>2117.6899410000001</v>
      </c>
      <c r="C479" s="2">
        <v>51.09</v>
      </c>
      <c r="D479">
        <v>-3.2304889294016981E-3</v>
      </c>
    </row>
    <row r="480" spans="1:4" x14ac:dyDescent="0.25">
      <c r="A480" s="1">
        <v>42121</v>
      </c>
      <c r="B480" s="2">
        <v>2108.919922</v>
      </c>
      <c r="C480" s="2">
        <v>50.82</v>
      </c>
      <c r="D480">
        <v>-1.1434775444858492E-3</v>
      </c>
    </row>
    <row r="481" spans="1:4" x14ac:dyDescent="0.25">
      <c r="A481" s="1">
        <v>42122</v>
      </c>
      <c r="B481" s="2">
        <v>2114.76001</v>
      </c>
      <c r="C481" s="2">
        <v>50.939999</v>
      </c>
      <c r="D481">
        <v>-4.0797633580003101E-4</v>
      </c>
    </row>
    <row r="482" spans="1:4" x14ac:dyDescent="0.25">
      <c r="A482" s="1">
        <v>42123</v>
      </c>
      <c r="B482" s="2">
        <v>2106.8500979999999</v>
      </c>
      <c r="C482" s="2">
        <v>50.759998000000003</v>
      </c>
      <c r="D482">
        <v>2.0674692376398962E-4</v>
      </c>
    </row>
    <row r="483" spans="1:4" x14ac:dyDescent="0.25">
      <c r="A483" s="1">
        <v>42124</v>
      </c>
      <c r="B483" s="2">
        <v>2085.51001</v>
      </c>
      <c r="C483" s="2">
        <v>50.360000999999997</v>
      </c>
      <c r="D483">
        <v>2.2487448100901863E-3</v>
      </c>
    </row>
    <row r="484" spans="1:4" x14ac:dyDescent="0.25">
      <c r="A484" s="1">
        <v>42125</v>
      </c>
      <c r="B484" s="2">
        <v>2108.290039</v>
      </c>
      <c r="C484" s="2">
        <v>50.900002000000001</v>
      </c>
      <c r="D484">
        <v>-2.0018600174198653E-4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PM_ST Example</vt:lpstr>
      <vt:lpstr>PM_FF Example</vt:lpstr>
      <vt:lpstr>'PM_FF Example'!DonnéesExternes_1</vt:lpstr>
      <vt:lpstr>'PM_ST Example'!DonnéesExternes_1</vt:lpstr>
    </vt:vector>
  </TitlesOfParts>
  <Company>investexcel.net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kembamau</cp:lastModifiedBy>
  <cp:lastPrinted>2009-11-20T02:20:32Z</cp:lastPrinted>
  <dcterms:created xsi:type="dcterms:W3CDTF">2008-09-08T11:06:36Z</dcterms:created>
  <dcterms:modified xsi:type="dcterms:W3CDTF">2015-11-30T21:51:07Z</dcterms:modified>
</cp:coreProperties>
</file>